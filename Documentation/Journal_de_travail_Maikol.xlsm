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793" documentId="8_{18B172D2-50FD-4B63-848D-F37510054989}" xr6:coauthVersionLast="47" xr6:coauthVersionMax="47" xr10:uidLastSave="{ACCC71A0-C2C4-41A2-82A9-1465FEB875C7}"/>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Journal!$A$1:$E$77</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1" i="6" l="1"/>
  <c r="F66" i="6"/>
  <c r="F61" i="6"/>
  <c r="F54" i="6"/>
  <c r="F50" i="6"/>
  <c r="F72" i="6"/>
  <c r="F73" i="6"/>
  <c r="F74" i="6"/>
  <c r="F75" i="6"/>
  <c r="F76" i="6"/>
  <c r="F77"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<sst xmlns="http://schemas.openxmlformats.org/spreadsheetml/2006/main" count="205" uniqueCount="119">
  <si>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</si>
  <si>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</si>
  <si>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</si>
  <si>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</si>
  <si>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</si>
  <si>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</si>
  <si>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</si>
  <si>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</si>
  <si>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</si>
  <si>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</si>
  <si>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</si>
  <si>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</si>
  <si>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</si>
  <si>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</si>
  <si>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</si>
  <si>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</si>
  <si>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</si>
  <si>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</si>
  <si>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</si>
  <si>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</si>
  <si>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</si>
  <si>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</si>
  <si>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</si>
  <si>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</si>
  <si>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</si>
  <si>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</si>
  <si>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</si>
  <si>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</si>
  <si>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</si>
  <si>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</si>
  <si>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</si>
  <si>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</si>
  <si>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</si>
  <si>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</si>
  <si>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</si>
  <si>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</si>
  <si>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</si>
  <si>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</si>
  <si>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</si>
  <si>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</si>
  <si>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</si>
  <si>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</si>
  <si>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</si>
  <si>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</si>
  <si>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</si>
  <si>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</si>
  <si>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</si>
  <si>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</si>
  <si>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</si>
  <si>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</si>
  <si>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</si>
  <si>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</si>
  <si>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</si>
  <si>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</si>
  <si>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</si>
  <si>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</si>
  <si>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</si>
  <si>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</si>
  <si>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</si>
  <si>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</si>
  <si>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</si>
  <si>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</si>
  <si>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</si>
  <si>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</si>
  <si>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</si>
  <si>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</si>
  <si>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</si>
  <si>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</si>
  <si>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</si>
  <si>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</si>
  <si>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</si>
  <si>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</si>
  <si>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</si>
  <si>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</si>
  <si>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</si>
  <si>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</si>
  <si>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</si>
  <si>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</si>
  <si>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</si>
  <si>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</si>
  <si>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</si>
  <si>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</si>
  <si>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</si>
  <si>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</si>
  <si>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</si>
  <si>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</si>
  <si>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</si>
  <si>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</si>
  <si>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</si>
  <si>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</si>
  <si>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</si>
  <si>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</si>
  <si>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</si>
  <si>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</si>
  <si>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</si>
  <si>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</si>
  <si>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</si>
  <si>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</si>
  <si>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</si>
  <si>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</si>
  <si>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</si>
  <si>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</si>
  <si>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</si>
  <si>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</si>
  <si>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</si>
  <si>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</si>
  <si>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</si>
  <si>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</si>
  <si>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</si>
  <si>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</si>
  <si>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</si>
  <si>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</si>
  <si>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</si>
  <si>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</si>
  <si>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</si>
  <si>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</si>
  <si>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</si>
  <si>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r>
      <t xml:space="preserve">Coder la possibilité de supprimer une annonce
</t>
    </r>
    <r>
      <rPr>
        <sz val="11"/>
        <color rgb="FFFF0000"/>
        <rFont val="Calibri"/>
        <family val="2"/>
        <scheme val="minor"/>
      </rPr>
      <t>Avis personnel : Je suis soulager parce que j'ai réussi à finir les fonctionnalités du sprint 2 en avance</t>
    </r>
  </si>
  <si>
    <r>
      <t xml:space="preserve">Création de la page mes achats avec les requêtes nécessaires
</t>
    </r>
    <r>
      <rPr>
        <sz val="11"/>
        <color rgb="FFFF0000"/>
        <rFont val="Calibri"/>
        <family val="2"/>
        <scheme val="minor"/>
      </rPr>
      <t>Avis personnel : Je suis soulager parce que j'ai réussi à finir les fonctionnalités du sprint 3 en avance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</si>
</sst>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85</v>
      </c>
      <c r="H27" s="13"/>
    </row>
    <row r="28" spans="1:8" x14ac:dyDescent="0.25">
      <c r="A28" s="13"/>
      <c r="B28" s="13"/>
      <c r="C28" s="13"/>
      <c r="D28" s="13"/>
      <c r="E28" s="13"/>
      <c r="F28" s="11"/>
      <c r="G28" s="23" t="s">
        <v>86</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31" zoomScale="85" zoomScaleNormal="85" workbookViewId="0">
      <selection activeCell="T11" sqref="T1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2.6180555555555558</v>
      </c>
      <c r="D4" s="4">
        <f ca="1">SUMIF($C$8:$C$9984,$C9,D$8:D$63)</f>
        <v>1.0590277777777777</v>
      </c>
      <c r="E4" s="2"/>
      <c r="F4" s="4">
        <f>SUMIF($C$8:$C$9984,$C9,F$8:F$9984)</f>
        <v>1.1944444444444446</v>
      </c>
      <c r="G4" s="3"/>
      <c r="H4" s="4">
        <f>SUMIF($C$8:$C$9984,$C9,H$8:H$9984)</f>
        <v>0.36458333333333331</v>
      </c>
      <c r="I4" s="3"/>
      <c r="J4" s="4">
        <f>SUMIF($C$8:$C$9984,$C9,J$8:J$9984)</f>
        <v>0</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0.70833333333333337</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SUMIFS(Journal!$D$4:$D$9361,Journal!$B$4:$B$9361,D$5,Journal!$C$4:$C$9361,$B8)</f>
        <v>2.0833333333333332E-2</v>
      </c>
      <c r="E9" s="52"/>
      <c r="F9" s="52">
        <f>SUMIFS(Journal!$D$4:$D$9361,Journal!$B$4:$B$9361,F$5,Journal!$C$4:$C$9361,$B8)</f>
        <v>0</v>
      </c>
      <c r="G9" s="53"/>
      <c r="H9" s="52">
        <f>SUMIFS(Journal!$D$4:$D$9361,Journal!$B$4:$B$9361,H$5,Journal!$C$4:$C$9361,$B8)</f>
        <v>0</v>
      </c>
      <c r="I9" s="52"/>
      <c r="J9" s="52">
        <f>SUMIFS(Journal!$D$4:$D$9361,Journal!$B$4:$B$9361,J$5,Journal!$C$4:$C$9361,$B8)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SUMIFS(Journal!$D$4:$D$9361,Journal!$B$4:$B$9361,D$5,Journal!$C$4:$C$9361,$B10)</f>
        <v>0</v>
      </c>
      <c r="E11" s="53"/>
      <c r="F11" s="52">
        <f>SUMIFS(Journal!$D$4:$D$9361,Journal!$B$4:$B$9361,F$5,Journal!$C$4:$C$9361,$B10)</f>
        <v>4.1666666666666664E-2</v>
      </c>
      <c r="G11" s="53"/>
      <c r="H11" s="52">
        <f>SUMIFS(Journal!$D$4:$D$9361,Journal!$B$4:$B$9361,H$5,Journal!$C$4:$C$9361,$B10)</f>
        <v>1.3888888888888888E-2</v>
      </c>
      <c r="I11" s="54"/>
      <c r="J11" s="52">
        <f>SUMIFS(Journal!$D$4:$D$9361,Journal!$B$4:$B$9361,J$5,Journal!$C$4:$C$9361,$B10)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SUMIFS(Journal!$D$4:$D$9361,Journal!$B$4:$B$9361,D$5,Journal!$C$4:$C$9361,$B12)</f>
        <v>0.14930555555555555</v>
      </c>
      <c r="E13" s="53"/>
      <c r="F13" s="52">
        <f>SUMIFS(Journal!$D$4:$D$9361,Journal!$B$4:$B$9361,F$5,Journal!$C$4:$C$9361,$B12)</f>
        <v>2.7777777777777776E-2</v>
      </c>
      <c r="G13" s="53"/>
      <c r="H13" s="52">
        <f>SUMIFS(Journal!$D$4:$D$9361,Journal!$B$4:$B$9361,H$5,Journal!$C$4:$C$9361,$B12)</f>
        <v>0</v>
      </c>
      <c r="I13" s="54"/>
      <c r="J13" s="52">
        <f>SUMIFS(Journal!$D$4:$D$9361,Journal!$B$4:$B$9361,J$5,Journal!$C$4:$C$9361,$B12)</f>
        <v>0</v>
      </c>
      <c r="K13" s="54"/>
      <c r="L13" s="55">
        <f t="shared" si="0"/>
        <v>0.17708333333333331</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SUMIFS(Journal!$D$4:$D$9361,Journal!$B$4:$B$9361,D$5,Journal!$C$4:$C$9361,$B14)</f>
        <v>8.6805555555555552E-2</v>
      </c>
      <c r="E15" s="53"/>
      <c r="F15" s="52">
        <f>SUMIFS(Journal!$D$4:$D$9361,Journal!$B$4:$B$9361,F$5,Journal!$C$4:$C$9361,$B14)</f>
        <v>0</v>
      </c>
      <c r="G15" s="53"/>
      <c r="H15" s="52">
        <f>SUMIFS(Journal!$D$4:$D$9361,Journal!$B$4:$B$9361,H$5,Journal!$C$4:$C$9361,$B14)</f>
        <v>0</v>
      </c>
      <c r="I15" s="53"/>
      <c r="J15" s="52">
        <f>SUMIFS(Journal!$D$4:$D$9361,Journal!$B$4:$B$9361,J$5,Journal!$C$4:$C$9361,$B14)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SUMIFS(Journal!$D$4:$D$9361,Journal!$B$4:$B$9361,D$5,Journal!$C$4:$C$9361,$B16)</f>
        <v>0.1111111111111111</v>
      </c>
      <c r="E17" s="53"/>
      <c r="F17" s="52">
        <f>SUMIFS(Journal!$D$4:$D$9361,Journal!$B$4:$B$9361,F$5,Journal!$C$4:$C$9361,$B16)</f>
        <v>0</v>
      </c>
      <c r="G17" s="53"/>
      <c r="H17" s="52">
        <f>SUMIFS(Journal!$D$4:$D$9361,Journal!$B$4:$B$9361,H$5,Journal!$C$4:$C$9361,$B16)</f>
        <v>0</v>
      </c>
      <c r="I17" s="54"/>
      <c r="J17" s="52">
        <f>SUMIFS(Journal!$D$4:$D$9361,Journal!$B$4:$B$9361,J$5,Journal!$C$4:$C$9361,$B16)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SUMIFS(Journal!$D$4:$D$9361,Journal!$B$4:$B$9361,D$5,Journal!$C$4:$C$9361,$B18)</f>
        <v>0.15277777777777776</v>
      </c>
      <c r="E19" s="53"/>
      <c r="F19" s="52">
        <f>SUMIFS(Journal!$D$4:$D$9361,Journal!$B$4:$B$9361,F$5,Journal!$C$4:$C$9361,$B18)</f>
        <v>0</v>
      </c>
      <c r="G19" s="53"/>
      <c r="H19" s="52">
        <f>SUMIFS(Journal!$D$4:$D$9361,Journal!$B$4:$B$9361,H$5,Journal!$C$4:$C$9361,$B18)</f>
        <v>0</v>
      </c>
      <c r="I19" s="54"/>
      <c r="J19" s="52">
        <f>SUMIFS(Journal!$D$4:$D$9361,Journal!$B$4:$B$9361,J$5,Journal!$C$4:$C$9361,$B18)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SUMIFS(Journal!$D$4:$D$9361,Journal!$B$4:$B$9361,D$5,Journal!$C$4:$C$9361,$B20)</f>
        <v>2.0833333333333332E-2</v>
      </c>
      <c r="E21" s="53"/>
      <c r="F21" s="52">
        <f>SUMIFS(Journal!$D$4:$D$9361,Journal!$B$4:$B$9361,F$5,Journal!$C$4:$C$9361,$B20)</f>
        <v>3.4722222222222224E-2</v>
      </c>
      <c r="G21" s="53"/>
      <c r="H21" s="52">
        <f>SUMIFS(Journal!$D$4:$D$9361,Journal!$B$4:$B$9361,H$5,Journal!$C$4:$C$9361,$B20)</f>
        <v>0</v>
      </c>
      <c r="I21" s="53"/>
      <c r="J21" s="52">
        <f>SUMIFS(Journal!$D$4:$D$9361,Journal!$B$4:$B$9361,J$5,Journal!$C$4:$C$9361,$B20)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SUMIFS(Journal!$D$4:$D$9361,Journal!$B$4:$B$9361,D$5,Journal!$C$4:$C$9361,$B22)</f>
        <v>1.3888888888888888E-2</v>
      </c>
      <c r="E23" s="53"/>
      <c r="F23" s="52">
        <f>SUMIFS(Journal!$D$7:$D$9318,Journal!$B$7:$B$9318,F$5,Journal!$C$7:$C$9318,$B22)</f>
        <v>3.4722222222222224E-2</v>
      </c>
      <c r="G23" s="53"/>
      <c r="H23" s="52">
        <f>SUMIFS(Journal!$D$7:$D$9318,Journal!$B$7:$B$9318,H$5,Journal!$C$7:$C$9318,$B22)</f>
        <v>0</v>
      </c>
      <c r="I23" s="53"/>
      <c r="J23" s="52">
        <f>SUMIFS(Journal!$D$7:$D$9318,Journal!$B$7:$B$9318,J$5,Journal!$C$7:$C$9318,$B22)</f>
        <v>0</v>
      </c>
      <c r="K23" s="53"/>
      <c r="L23" s="55">
        <f t="shared" si="0"/>
        <v>4.8611111111111112E-2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1.2569444444444444</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SUMIFS(Journal!$D$4:$D$9361,Journal!$B$4:$B$9361,D$5,Journal!$C$4:$C$9361,$B26)</f>
        <v>0.10416666666666666</v>
      </c>
      <c r="E27" s="53"/>
      <c r="F27" s="52">
        <f>SUMIFS(Journal!$D$4:$D$9361,Journal!$B$4:$B$9361,F$5,Journal!$C$4:$C$9361,$B26)</f>
        <v>0</v>
      </c>
      <c r="G27" s="53"/>
      <c r="H27" s="52">
        <f>SUMIFS(Journal!$D$4:$D$9361,Journal!$B$4:$B$9361,H$5,Journal!$C$4:$C$9361,$B26)</f>
        <v>0</v>
      </c>
      <c r="I27" s="54"/>
      <c r="J27" s="52">
        <f>SUMIFS(Journal!$D$4:$D$9361,Journal!$B$4:$B$9361,J$5,Journal!$C$4:$C$9361,$B26)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SUMIFS(Journal!$D$4:$D$9361,Journal!$B$4:$B$9361,D$5,Journal!$C$4:$C$9361,$B28)</f>
        <v>0.15277777777777779</v>
      </c>
      <c r="E29" s="53"/>
      <c r="F29" s="52">
        <f>SUMIFS(Journal!$D$4:$D$9361,Journal!$B$4:$B$9361,F$5,Journal!$C$4:$C$9361,$B28)</f>
        <v>0</v>
      </c>
      <c r="G29" s="53"/>
      <c r="H29" s="52">
        <f>SUMIFS(Journal!$D$4:$D$9361,Journal!$B$4:$B$9361,H$5,Journal!$C$4:$C$9361,$B28)</f>
        <v>0</v>
      </c>
      <c r="I29" s="53"/>
      <c r="J29" s="52">
        <f>SUMIFS(Journal!$D$4:$D$9361,Journal!$B$4:$B$9361,J$5,Journal!$C$4:$C$9361,$B28)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SUMIFS(Journal!$D$4:$D$9361,Journal!$B$4:$B$9361,D$5,Journal!$C$4:$C$9361,$B30)</f>
        <v>0</v>
      </c>
      <c r="E31" s="53"/>
      <c r="F31" s="52">
        <f>SUMIFS(Journal!$D$4:$D$9361,Journal!$B$4:$B$9361,F$5,Journal!$C$4:$C$9361,$B30)</f>
        <v>5.2083333333333336E-2</v>
      </c>
      <c r="G31" s="53"/>
      <c r="H31" s="52">
        <f>SUMIFS(Journal!$D$4:$D$9361,Journal!$B$4:$B$9361,H$5,Journal!$C$4:$C$9361,$B30)</f>
        <v>0</v>
      </c>
      <c r="I31" s="54"/>
      <c r="J31" s="52">
        <f>SUMIFS(Journal!$D$4:$D$9361,Journal!$B$4:$B$9361,J$5,Journal!$C$4:$C$9361,$B30)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SUMIFS(Journal!$D$4:$D$9361,Journal!$B$4:$B$9361,D$5,Journal!$C$4:$C$9361,$B32)</f>
        <v>0</v>
      </c>
      <c r="E33" s="53"/>
      <c r="F33" s="52">
        <f>SUMIFS(Journal!$D$4:$D$9361,Journal!$B$4:$B$9361,F$5,Journal!$C$4:$C$9361,$B32)</f>
        <v>0.2013888888888889</v>
      </c>
      <c r="G33" s="53"/>
      <c r="H33" s="52">
        <f>SUMIFS(Journal!$D$4:$D$9361,Journal!$B$4:$B$9361,H$5,Journal!$C$4:$C$9361,$B32)</f>
        <v>0</v>
      </c>
      <c r="I33" s="54"/>
      <c r="J33" s="52">
        <f>SUMIFS(Journal!$D$4:$D$9361,Journal!$B$4:$B$9361,J$5,Journal!$C$4:$C$9361,$B32)</f>
        <v>0</v>
      </c>
      <c r="K33" s="54"/>
      <c r="L33" s="55">
        <f t="shared" si="1"/>
        <v>0.2013888888888889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SUMIFS(Journal!$D$4:$D$9361,Journal!$B$4:$B$9361,D$5,Journal!$C$4:$C$9361,$B34)</f>
        <v>0</v>
      </c>
      <c r="E35" s="53"/>
      <c r="F35" s="52">
        <f>SUMIFS(Journal!$D$4:$D$9361,Journal!$B$4:$B$9361,F$5,Journal!$C$4:$C$9361,$B34)</f>
        <v>0.21875</v>
      </c>
      <c r="G35" s="53"/>
      <c r="H35" s="52">
        <f>SUMIFS(Journal!$D$4:$D$9361,Journal!$B$4:$B$9361,H$5,Journal!$C$4:$C$9361,$B34)</f>
        <v>0</v>
      </c>
      <c r="I35" s="54"/>
      <c r="J35" s="52">
        <f>SUMIFS(Journal!$D$4:$D$9361,Journal!$B$4:$B$9361,J$5,Journal!$C$4:$C$9361,$B34)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SUMIFS(Journal!$D$4:$D$9361,Journal!$B$4:$B$9361,D$5,Journal!$C$4:$C$9361,$B36)</f>
        <v>0</v>
      </c>
      <c r="E37" s="53"/>
      <c r="F37" s="52">
        <f>SUMIFS(Journal!$D$4:$D$9361,Journal!$B$4:$B$9361,F$5,Journal!$C$4:$C$9361,$B36)</f>
        <v>0.16666666666666669</v>
      </c>
      <c r="G37" s="53"/>
      <c r="H37" s="52">
        <f>SUMIFS(Journal!$D$4:$D$9361,Journal!$B$4:$B$9361,H$5,Journal!$C$4:$C$9361,$B36)</f>
        <v>0</v>
      </c>
      <c r="I37" s="53"/>
      <c r="J37" s="52">
        <f>SUMIFS(Journal!$D$4:$D$9361,Journal!$B$4:$B$9361,J$5,Journal!$C$4:$C$9361,$B36)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SUMIFS(Journal!$D$4:$D$9361,Journal!$B$4:$B$9361,D$5,Journal!$C$4:$C$9361,$B38)</f>
        <v>0</v>
      </c>
      <c r="E39" s="53"/>
      <c r="F39" s="52">
        <f>SUMIFS(Journal!$D$4:$D$9361,Journal!$B$4:$B$9361,F$5,Journal!$C$4:$C$9361,$B38)</f>
        <v>8.3333333333333343E-2</v>
      </c>
      <c r="G39" s="53"/>
      <c r="H39" s="52">
        <f>SUMIFS(Journal!$D$4:$D$9361,Journal!$B$4:$B$9361,H$5,Journal!$C$4:$C$9361,$B38)</f>
        <v>0</v>
      </c>
      <c r="I39" s="54"/>
      <c r="J39" s="52">
        <f>SUMIFS(Journal!$D$4:$D$9361,Journal!$B$4:$B$9361,J$5,Journal!$C$4:$C$9361,$B38)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SUMIFS(Journal!$D$4:$D$9361,Journal!$B$4:$B$9361,D$5,Journal!$C$4:$C$9361,$B40)</f>
        <v>0</v>
      </c>
      <c r="E41" s="53"/>
      <c r="F41" s="52">
        <f>SUMIFS(Journal!$D$4:$D$9361,Journal!$B$4:$B$9361,F$5,Journal!$C$4:$C$9361,$B40)</f>
        <v>0</v>
      </c>
      <c r="G41" s="53"/>
      <c r="H41" s="52">
        <f>SUMIFS(Journal!$D$4:$D$9361,Journal!$B$4:$B$9361,H$5,Journal!$C$4:$C$9361,$B40)</f>
        <v>0.15277777777777779</v>
      </c>
      <c r="I41" s="54"/>
      <c r="J41" s="52">
        <f>SUMIFS(Journal!$D$4:$D$9361,Journal!$B$4:$B$9361,J$5,Journal!$C$4:$C$9361,$B40)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SUMIFS(Journal!$D$4:$D$9361,Journal!$B$4:$B$9361,D$5,Journal!$C$4:$C$9361,$B42)</f>
        <v>0</v>
      </c>
      <c r="E43" s="53"/>
      <c r="F43" s="52">
        <f>SUMIFS(Journal!$D$4:$D$9361,Journal!$B$4:$B$9361,F$5,Journal!$C$4:$C$9361,$B42)</f>
        <v>0</v>
      </c>
      <c r="G43" s="53"/>
      <c r="H43" s="52">
        <f>SUMIFS(Journal!$D$4:$D$9361,Journal!$B$4:$B$9361,H$5,Journal!$C$4:$C$9361,$B42)</f>
        <v>8.3333333333333329E-2</v>
      </c>
      <c r="I43" s="54"/>
      <c r="J43" s="52">
        <f>SUMIFS(Journal!$D$4:$D$9361,Journal!$B$4:$B$9361,J$5,Journal!$C$4:$C$9361,$B42)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SUMIFS(Journal!$D$4:$D$9361,Journal!$B$4:$B$9361,D$5,Journal!$C$4:$C$9361,$B44)</f>
        <v>0</v>
      </c>
      <c r="E45" s="53"/>
      <c r="F45" s="52">
        <f>SUMIFS(Journal!$D$4:$D$9361,Journal!$B$4:$B$9361,F$5,Journal!$C$4:$C$9361,$B44)</f>
        <v>0</v>
      </c>
      <c r="G45" s="53"/>
      <c r="H45" s="52">
        <f>SUMIFS(Journal!$D$4:$D$9361,Journal!$B$4:$B$9361,H$5,Journal!$C$4:$C$9361,$B44)</f>
        <v>4.1666666666666664E-2</v>
      </c>
      <c r="I45" s="53"/>
      <c r="J45" s="52">
        <f>SUMIFS(Journal!$D$4:$D$9361,Journal!$B$4:$B$9361,J$5,Journal!$C$4:$C$9361,$B44)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SUMIFS(Journal!$D$4:$D$9361,Journal!$B$4:$B$9361,D$5,Journal!$C$4:$C$9361,$B46)</f>
        <v>0</v>
      </c>
      <c r="E47" s="53"/>
      <c r="F47" s="52">
        <f>SUMIFS(Journal!$D$4:$D$9361,Journal!$B$4:$B$9361,F$5,Journal!$C$4:$C$9361,$B46)</f>
        <v>0</v>
      </c>
      <c r="G47" s="53"/>
      <c r="H47" s="52">
        <f>SUMIFS(Journal!$D$4:$D$9361,Journal!$B$4:$B$9361,H$5,Journal!$C$4:$C$9361,$B46)</f>
        <v>0</v>
      </c>
      <c r="I47" s="54"/>
      <c r="J47" s="52">
        <f>SUMIFS(Journal!$D$4:$D$9361,Journal!$B$4:$B$9361,J$5,Journal!$C$4:$C$9361,$B46)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SUMIFS(Journal!$D$4:$D$9361,Journal!$B$4:$B$9361,D$5,Journal!$C$4:$C$9361,$B48)</f>
        <v>0</v>
      </c>
      <c r="E49" s="53"/>
      <c r="F49" s="52">
        <f>SUMIFS(Journal!$D$4:$D$9361,Journal!$B$4:$B$9361,F$5,Journal!$C$4:$C$9361,$B48)</f>
        <v>0</v>
      </c>
      <c r="G49" s="53"/>
      <c r="H49" s="52">
        <f>SUMIFS(Journal!$D$4:$D$9361,Journal!$B$4:$B$9361,H$5,Journal!$C$4:$C$9361,$B48)</f>
        <v>0</v>
      </c>
      <c r="I49" s="54"/>
      <c r="J49" s="52">
        <f>SUMIFS(Journal!$D$4:$D$9361,Journal!$B$4:$B$9361,J$5,Journal!$C$4:$C$9361,$B48)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0.19791666666666669</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SUMIFS(Journal!$D$4:$D$9361,Journal!$B$4:$B$9361,D$5,Journal!$C$4:$C$9361,$B52)</f>
        <v>0</v>
      </c>
      <c r="E53" s="52">
        <f>SUMIFS(Journal!$D$7:$D$9318,Journal!$B$7:$B$9318,E$5,Journal!$C$7:$C$9318,$B52)</f>
        <v>0</v>
      </c>
      <c r="F53" s="52">
        <f>SUMIFS(Journal!$D$4:$D$9361,Journal!$B$4:$B$9361,F$5,Journal!$C$4:$C$9361,$B52)</f>
        <v>3.125E-2</v>
      </c>
      <c r="G53" s="52"/>
      <c r="H53" s="52">
        <f>SUMIFS(Journal!$D$4:$D$9361,Journal!$B$4:$B$9361,H$5,Journal!$C$4:$C$9361,$B52)</f>
        <v>2.0833333333333332E-2</v>
      </c>
      <c r="I53" s="52"/>
      <c r="J53" s="52">
        <f>SUMIFS(Journal!$D$4:$D$9361,Journal!$B$4:$B$9361,J$5,Journal!$C$4:$C$9361,$B52)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SUMIFS(Journal!$D$4:$D$9361,Journal!$B$4:$B$9361,D$5,Journal!$C$4:$C$9361,$B54)</f>
        <v>0</v>
      </c>
      <c r="E55" s="53"/>
      <c r="F55" s="52">
        <f>SUMIFS(Journal!$D$4:$D$9361,Journal!$B$4:$B$9361,F$5,Journal!$C$4:$C$9361,$B54)</f>
        <v>0.11458333333333334</v>
      </c>
      <c r="G55" s="53"/>
      <c r="H55" s="52">
        <f>SUMIFS(Journal!$D$4:$D$9361,Journal!$B$4:$B$9361,H$5,Journal!$C$4:$C$9361,$B54)</f>
        <v>3.125E-2</v>
      </c>
      <c r="I55" s="53"/>
      <c r="J55" s="52">
        <f>SUMIFS(Journal!$D$4:$D$9361,Journal!$B$4:$B$9361,J$5,Journal!$C$4:$C$9361,$B54)</f>
        <v>0</v>
      </c>
      <c r="K55" s="53"/>
      <c r="L55" s="55">
        <f t="shared" si="4"/>
        <v>0.14583333333333334</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SUMIFS(Journal!$D$4:$D$9361,Journal!$B$4:$B$9361,D$5,Journal!$C$4:$C$9361,$B56)</f>
        <v>0</v>
      </c>
      <c r="E57" s="53"/>
      <c r="F57" s="52">
        <f>SUMIFS(Journal!$D$4:$D$9361,Journal!$B$4:$B$9361,F$5,Journal!$C$4:$C$9361,$B56)</f>
        <v>0</v>
      </c>
      <c r="G57" s="53"/>
      <c r="H57" s="52">
        <f>SUMIFS(Journal!$D$4:$D$9361,Journal!$B$4:$B$9361,H$5,Journal!$C$4:$C$9361,$B56)</f>
        <v>0</v>
      </c>
      <c r="I57" s="53"/>
      <c r="J57" s="52">
        <f>SUMIFS(Journal!$D$4:$D$9361,Journal!$B$4:$B$9361,J$5,Journal!$C$4:$C$9361,$B56)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0.4548611111111111</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SUMIFS(Journal!$D$4:$D$9361,Journal!$B$4:$B$9361,D$5,Journal!$C$4:$C$9361,$B60)</f>
        <v>4.5138888888888881E-2</v>
      </c>
      <c r="E61" s="53"/>
      <c r="F61" s="52">
        <f>SUMIFS(Journal!$D$4:$D$9361,Journal!$B$4:$B$9361,F$5,Journal!$C$4:$C$9361,$B60)</f>
        <v>5.9027777777777769E-2</v>
      </c>
      <c r="G61" s="53"/>
      <c r="H61" s="52">
        <f>SUMIFS(Journal!$D$4:$D$9361,Journal!$B$4:$B$9361,H$5,Journal!$C$4:$C$9361,$B60)</f>
        <v>2.0833333333333332E-2</v>
      </c>
      <c r="I61" s="54"/>
      <c r="J61" s="52">
        <f>SUMIFS(Journal!$D$4:$D$9361,Journal!$B$4:$B$9361,J$5,Journal!$C$4:$C$9361,$B60)</f>
        <v>0</v>
      </c>
      <c r="K61" s="54"/>
      <c r="L61" s="55">
        <f>IF(SUM(D61:K61)=0,"",SUM(D61:K61))</f>
        <v>0.12499999999999999</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SUMIFS(Journal!$D$4:$D$9361,Journal!$B$4:$B$9361,D$5,Journal!$C$4:$C$9361,$B62)</f>
        <v>0.2013888888888889</v>
      </c>
      <c r="E63" s="53"/>
      <c r="F63" s="52">
        <f>SUMIFS(Journal!$D$4:$D$9361,Journal!$B$4:$B$9361,F$5,Journal!$C$4:$C$9361,$B62)</f>
        <v>0.12847222222222221</v>
      </c>
      <c r="G63" s="53"/>
      <c r="H63" s="52">
        <f>SUMIFS(Journal!$D$4:$D$9361,Journal!$B$4:$B$9361,H$5,Journal!$C$4:$C$9361,$B62)</f>
        <v>0</v>
      </c>
      <c r="I63" s="54"/>
      <c r="J63" s="52">
        <f>SUMIFS(Journal!$D$4:$D$9361,Journal!$B$4:$B$9361,J$5,Journal!$C$4:$C$9361,$B62)</f>
        <v>0</v>
      </c>
      <c r="K63" s="54"/>
      <c r="L63" s="55">
        <f>IF(SUM(D63:K63)=0,"",SUM(D63:K63))</f>
        <v>0.3298611111111111</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77"/>
  <sheetViews>
    <sheetView tabSelected="1" topLeftCell="A64" workbookViewId="0">
      <selection activeCell="I69" sqref="I69"/>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45433</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116</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86</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85</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85</v>
      </c>
      <c r="D16" s="92">
        <v>1.0416666666666666E-2</v>
      </c>
      <c r="E16" s="93" t="s">
        <v>67</v>
      </c>
      <c r="F16" s="85">
        <f>SUM(D12:D16)</f>
        <v>0.2638888888888889</v>
      </c>
      <c r="H16" s="86"/>
      <c r="I16" s="82">
        <v>0.16666666666666666</v>
      </c>
      <c r="M16" s="82"/>
    </row>
    <row r="17" spans="1:13" ht="135" x14ac:dyDescent="0.25">
      <c r="A17" s="94">
        <v>45415</v>
      </c>
      <c r="B17" s="95">
        <v>1</v>
      </c>
      <c r="C17" s="96" t="s">
        <v>54</v>
      </c>
      <c r="D17" s="97">
        <v>2.0833333333333332E-2</v>
      </c>
      <c r="E17" s="98" t="s">
        <v>70</v>
      </c>
      <c r="F17" s="85"/>
      <c r="H17" s="86"/>
      <c r="I17" s="82">
        <v>0.16666666666666666</v>
      </c>
      <c r="M17" s="82"/>
    </row>
    <row r="18" spans="1:13" ht="30" x14ac:dyDescent="0.25">
      <c r="A18" s="94">
        <v>45415</v>
      </c>
      <c r="B18" s="95">
        <v>1</v>
      </c>
      <c r="C18" s="96" t="s">
        <v>31</v>
      </c>
      <c r="D18" s="97">
        <v>7.9861111111111105E-2</v>
      </c>
      <c r="E18" s="98" t="s">
        <v>71</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72</v>
      </c>
      <c r="F19" s="85"/>
      <c r="H19" s="87" t="s">
        <v>48</v>
      </c>
      <c r="I19" s="82">
        <v>0.19791666666666666</v>
      </c>
      <c r="M19" s="82"/>
    </row>
    <row r="20" spans="1:13" ht="30" x14ac:dyDescent="0.25">
      <c r="A20" s="94">
        <v>45415</v>
      </c>
      <c r="B20" s="95">
        <v>1</v>
      </c>
      <c r="C20" s="96" t="s">
        <v>51</v>
      </c>
      <c r="D20" s="97">
        <v>3.472222222222222E-3</v>
      </c>
      <c r="E20" s="98" t="s">
        <v>73</v>
      </c>
      <c r="F20" s="85"/>
      <c r="H20" s="87"/>
      <c r="I20" s="82">
        <v>0.2638888888888889</v>
      </c>
      <c r="M20" s="82"/>
    </row>
    <row r="21" spans="1:13" x14ac:dyDescent="0.25">
      <c r="A21" s="94">
        <v>45415</v>
      </c>
      <c r="B21" s="95">
        <v>1</v>
      </c>
      <c r="C21" s="96" t="s">
        <v>52</v>
      </c>
      <c r="D21" s="97">
        <v>3.8194444444444441E-2</v>
      </c>
      <c r="E21" s="98" t="s">
        <v>74</v>
      </c>
      <c r="F21" s="85"/>
      <c r="H21" s="87"/>
      <c r="I21" s="82">
        <v>0.16666666666666666</v>
      </c>
      <c r="M21" s="82"/>
    </row>
    <row r="22" spans="1:13" ht="30" x14ac:dyDescent="0.25">
      <c r="A22" s="94">
        <v>45415</v>
      </c>
      <c r="B22" s="95">
        <v>1</v>
      </c>
      <c r="C22" s="96" t="s">
        <v>85</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75</v>
      </c>
      <c r="F23" s="85"/>
      <c r="H23" s="84"/>
    </row>
    <row r="24" spans="1:13" ht="16.5" customHeight="1" x14ac:dyDescent="0.25">
      <c r="A24" s="89">
        <v>45418</v>
      </c>
      <c r="B24" s="90">
        <v>1</v>
      </c>
      <c r="C24" s="91" t="s">
        <v>53</v>
      </c>
      <c r="D24" s="92">
        <v>6.9444444444444441E-3</v>
      </c>
      <c r="E24" s="93" t="s">
        <v>76</v>
      </c>
      <c r="F24" s="85"/>
      <c r="H24" s="84" t="s">
        <v>12</v>
      </c>
      <c r="I24" s="85">
        <f>SUM(I4:I22)</f>
        <v>3.7499999999999991</v>
      </c>
    </row>
    <row r="25" spans="1:13" ht="30" x14ac:dyDescent="0.25">
      <c r="A25" s="89">
        <v>45418</v>
      </c>
      <c r="B25" s="90">
        <v>1</v>
      </c>
      <c r="C25" s="91" t="s">
        <v>31</v>
      </c>
      <c r="D25" s="92">
        <v>2.0833333333333332E-2</v>
      </c>
      <c r="E25" s="93" t="s">
        <v>77</v>
      </c>
      <c r="F25" s="85"/>
      <c r="H25" s="84"/>
    </row>
    <row r="26" spans="1:13" ht="30" x14ac:dyDescent="0.25">
      <c r="A26" s="89">
        <v>45418</v>
      </c>
      <c r="B26" s="90">
        <v>1</v>
      </c>
      <c r="C26" s="91" t="s">
        <v>86</v>
      </c>
      <c r="D26" s="92">
        <v>0.1076388888888889</v>
      </c>
      <c r="E26" s="93" t="s">
        <v>78</v>
      </c>
      <c r="F26" s="85"/>
      <c r="H26" t="s">
        <v>19</v>
      </c>
      <c r="I26" t="s">
        <v>20</v>
      </c>
      <c r="J26" t="s">
        <v>21</v>
      </c>
    </row>
    <row r="27" spans="1:13" ht="29.25" customHeight="1" x14ac:dyDescent="0.25">
      <c r="A27" s="89">
        <v>45418</v>
      </c>
      <c r="B27" s="90">
        <v>1</v>
      </c>
      <c r="C27" s="91" t="s">
        <v>55</v>
      </c>
      <c r="D27" s="92">
        <v>1.3888888888888888E-2</v>
      </c>
      <c r="E27" s="93" t="s">
        <v>79</v>
      </c>
      <c r="F27" s="85"/>
      <c r="H27" t="s">
        <v>22</v>
      </c>
      <c r="I27" s="82">
        <v>0.2638888888888889</v>
      </c>
      <c r="J27">
        <v>8</v>
      </c>
    </row>
    <row r="28" spans="1:13" x14ac:dyDescent="0.25">
      <c r="A28" s="89">
        <v>45418</v>
      </c>
      <c r="B28" s="90">
        <v>1</v>
      </c>
      <c r="C28" s="91" t="s">
        <v>86</v>
      </c>
      <c r="D28" s="92">
        <v>5.2083333333333336E-2</v>
      </c>
      <c r="E28" s="93" t="s">
        <v>80</v>
      </c>
      <c r="F28" s="85"/>
      <c r="H28" t="s">
        <v>23</v>
      </c>
      <c r="I28" s="82">
        <v>0.16666666666666666</v>
      </c>
      <c r="J28">
        <v>5</v>
      </c>
    </row>
    <row r="29" spans="1:13" x14ac:dyDescent="0.25">
      <c r="A29" s="89">
        <v>45418</v>
      </c>
      <c r="B29" s="90">
        <v>1</v>
      </c>
      <c r="C29" s="91" t="s">
        <v>50</v>
      </c>
      <c r="D29" s="92">
        <v>2.4305555555555556E-2</v>
      </c>
      <c r="E29" s="93" t="s">
        <v>81</v>
      </c>
      <c r="F29" s="85"/>
      <c r="H29" t="s">
        <v>24</v>
      </c>
      <c r="I29" s="82">
        <v>0.16666666666666666</v>
      </c>
      <c r="J29">
        <v>5</v>
      </c>
    </row>
    <row r="30" spans="1:13" x14ac:dyDescent="0.25">
      <c r="A30" s="89">
        <v>45418</v>
      </c>
      <c r="B30" s="90">
        <v>1</v>
      </c>
      <c r="C30" s="91" t="s">
        <v>85</v>
      </c>
      <c r="D30" s="92">
        <v>6.9444444444444441E-3</v>
      </c>
      <c r="E30" s="93" t="s">
        <v>82</v>
      </c>
      <c r="F30" s="85">
        <f>SUM(D23:D30)</f>
        <v>0.2638888888888889</v>
      </c>
      <c r="H30" t="s">
        <v>25</v>
      </c>
      <c r="I30" s="82">
        <v>0.2638888888888889</v>
      </c>
      <c r="J30">
        <v>8</v>
      </c>
    </row>
    <row r="31" spans="1:13" x14ac:dyDescent="0.25">
      <c r="A31" s="94">
        <v>45419</v>
      </c>
      <c r="B31" s="95">
        <v>2</v>
      </c>
      <c r="C31" s="96" t="s">
        <v>86</v>
      </c>
      <c r="D31" s="97">
        <v>2.0833333333333332E-2</v>
      </c>
      <c r="E31" s="98" t="s">
        <v>83</v>
      </c>
      <c r="F31" s="85"/>
      <c r="H31" t="s">
        <v>26</v>
      </c>
      <c r="I31" s="82">
        <v>0.19791666666666666</v>
      </c>
      <c r="J31">
        <v>6</v>
      </c>
    </row>
    <row r="32" spans="1:13" x14ac:dyDescent="0.25">
      <c r="A32" s="94">
        <v>45419</v>
      </c>
      <c r="B32" s="95">
        <v>2</v>
      </c>
      <c r="C32" s="96" t="s">
        <v>34</v>
      </c>
      <c r="D32" s="97">
        <v>2.0833333333333332E-2</v>
      </c>
      <c r="E32" s="98" t="s">
        <v>84</v>
      </c>
      <c r="F32" s="85"/>
      <c r="H32" t="s">
        <v>12</v>
      </c>
      <c r="I32" s="85">
        <f>I27+I28+I29+I30+I31</f>
        <v>1.0590277777777779</v>
      </c>
      <c r="J32">
        <f>SUM(J27:J31)</f>
        <v>32</v>
      </c>
    </row>
    <row r="33" spans="1:7" ht="30" x14ac:dyDescent="0.25">
      <c r="A33" s="94">
        <v>45419</v>
      </c>
      <c r="B33" s="95">
        <v>2</v>
      </c>
      <c r="C33" s="96" t="s">
        <v>32</v>
      </c>
      <c r="D33" s="97">
        <v>5.2083333333333336E-2</v>
      </c>
      <c r="E33" s="98" t="s">
        <v>87</v>
      </c>
      <c r="F33" s="85"/>
    </row>
    <row r="34" spans="1:7" ht="135" x14ac:dyDescent="0.25">
      <c r="A34" s="94">
        <v>45419</v>
      </c>
      <c r="B34" s="95">
        <v>2</v>
      </c>
      <c r="C34" s="96" t="s">
        <v>34</v>
      </c>
      <c r="D34" s="97">
        <v>6.5972222222222224E-2</v>
      </c>
      <c r="E34" s="98" t="s">
        <v>114</v>
      </c>
      <c r="F34" s="85"/>
      <c r="G34" s="84"/>
    </row>
    <row r="35" spans="1:7" x14ac:dyDescent="0.25">
      <c r="A35" s="94">
        <v>45419</v>
      </c>
      <c r="B35" s="95">
        <v>2</v>
      </c>
      <c r="C35" s="96" t="s">
        <v>85</v>
      </c>
      <c r="D35" s="97">
        <v>6.9444444444444441E-3</v>
      </c>
      <c r="E35" s="98" t="s">
        <v>82</v>
      </c>
      <c r="F35" s="85">
        <f>SUM(D31:D35)</f>
        <v>0.16666666666666666</v>
      </c>
      <c r="G35" s="84"/>
    </row>
    <row r="36" spans="1:7" ht="60.75" customHeight="1" x14ac:dyDescent="0.25">
      <c r="A36" s="89">
        <v>45420</v>
      </c>
      <c r="B36" s="90">
        <v>2</v>
      </c>
      <c r="C36" s="91" t="s">
        <v>34</v>
      </c>
      <c r="D36" s="92">
        <v>2.0833333333333332E-2</v>
      </c>
      <c r="E36" s="93" t="s">
        <v>115</v>
      </c>
      <c r="F36" s="85"/>
      <c r="G36" s="84"/>
    </row>
    <row r="37" spans="1:7" x14ac:dyDescent="0.25">
      <c r="A37" s="89">
        <v>45420</v>
      </c>
      <c r="B37" s="90">
        <v>2</v>
      </c>
      <c r="C37" s="91" t="s">
        <v>34</v>
      </c>
      <c r="D37" s="92">
        <v>0.1111111111111111</v>
      </c>
      <c r="E37" s="93" t="s">
        <v>88</v>
      </c>
      <c r="F37" s="85"/>
      <c r="G37" s="84"/>
    </row>
    <row r="38" spans="1:7" ht="30" x14ac:dyDescent="0.25">
      <c r="A38" s="89">
        <v>45420</v>
      </c>
      <c r="B38" s="90">
        <v>2</v>
      </c>
      <c r="C38" s="91" t="s">
        <v>33</v>
      </c>
      <c r="D38" s="92">
        <v>2.4305555555555556E-2</v>
      </c>
      <c r="E38" s="93" t="s">
        <v>89</v>
      </c>
      <c r="F38" s="85"/>
      <c r="G38" s="84"/>
    </row>
    <row r="39" spans="1:7" ht="30" x14ac:dyDescent="0.25">
      <c r="A39" s="89">
        <v>45420</v>
      </c>
      <c r="B39" s="90">
        <v>2</v>
      </c>
      <c r="C39" s="91" t="s">
        <v>85</v>
      </c>
      <c r="D39" s="92">
        <v>1.0416666666666666E-2</v>
      </c>
      <c r="E39" s="93" t="s">
        <v>67</v>
      </c>
      <c r="F39" s="85">
        <f>SUM(D36:D39)</f>
        <v>0.16666666666666666</v>
      </c>
      <c r="G39" s="84"/>
    </row>
    <row r="40" spans="1:7" ht="45" x14ac:dyDescent="0.25">
      <c r="A40" s="94">
        <v>45425</v>
      </c>
      <c r="B40" s="95">
        <v>2</v>
      </c>
      <c r="C40" s="96" t="s">
        <v>33</v>
      </c>
      <c r="D40" s="97">
        <v>0.11458333333333333</v>
      </c>
      <c r="E40" s="98" t="s">
        <v>90</v>
      </c>
      <c r="F40" s="85"/>
      <c r="G40" s="84"/>
    </row>
    <row r="41" spans="1:7" ht="30" x14ac:dyDescent="0.25">
      <c r="A41" s="94">
        <v>45425</v>
      </c>
      <c r="B41" s="95">
        <v>2</v>
      </c>
      <c r="C41" s="96" t="s">
        <v>35</v>
      </c>
      <c r="D41" s="97">
        <v>2.0833333333333332E-2</v>
      </c>
      <c r="E41" s="98" t="s">
        <v>91</v>
      </c>
      <c r="F41" s="85"/>
      <c r="G41" s="84"/>
    </row>
    <row r="42" spans="1:7" x14ac:dyDescent="0.25">
      <c r="A42" s="94">
        <v>45425</v>
      </c>
      <c r="B42" s="95">
        <v>2</v>
      </c>
      <c r="C42" s="96" t="s">
        <v>54</v>
      </c>
      <c r="D42" s="97">
        <v>1.3888888888888888E-2</v>
      </c>
      <c r="E42" s="98" t="s">
        <v>92</v>
      </c>
      <c r="F42" s="85"/>
      <c r="G42" s="84"/>
    </row>
    <row r="43" spans="1:7" x14ac:dyDescent="0.25">
      <c r="A43" s="94">
        <v>45425</v>
      </c>
      <c r="B43" s="95">
        <v>2</v>
      </c>
      <c r="C43" s="96" t="s">
        <v>35</v>
      </c>
      <c r="D43" s="97">
        <v>0.10416666666666667</v>
      </c>
      <c r="E43" s="98" t="s">
        <v>93</v>
      </c>
      <c r="F43" s="85"/>
      <c r="G43" s="84"/>
    </row>
    <row r="44" spans="1:7" x14ac:dyDescent="0.25">
      <c r="A44" s="94">
        <v>45425</v>
      </c>
      <c r="B44" s="95">
        <v>2</v>
      </c>
      <c r="C44" s="96" t="s">
        <v>85</v>
      </c>
      <c r="D44" s="97">
        <v>1.0416666666666666E-2</v>
      </c>
      <c r="E44" s="98" t="s">
        <v>82</v>
      </c>
      <c r="F44" s="85">
        <f>SUM(D40:D44)</f>
        <v>0.2638888888888889</v>
      </c>
      <c r="G44" s="84"/>
    </row>
    <row r="45" spans="1:7" ht="30" x14ac:dyDescent="0.25">
      <c r="A45" s="89">
        <v>45426</v>
      </c>
      <c r="B45" s="90">
        <v>2</v>
      </c>
      <c r="C45" s="91" t="s">
        <v>35</v>
      </c>
      <c r="D45" s="92">
        <v>2.7777777777777776E-2</v>
      </c>
      <c r="E45" s="93" t="s">
        <v>94</v>
      </c>
      <c r="F45" s="85"/>
      <c r="G45" s="84"/>
    </row>
    <row r="46" spans="1:7" x14ac:dyDescent="0.25">
      <c r="A46" s="89">
        <v>45426</v>
      </c>
      <c r="B46" s="90">
        <v>2</v>
      </c>
      <c r="C46" s="91" t="s">
        <v>35</v>
      </c>
      <c r="D46" s="92">
        <v>1.3888888888888888E-2</v>
      </c>
      <c r="E46" s="93" t="s">
        <v>95</v>
      </c>
      <c r="F46" s="85"/>
      <c r="G46" s="84"/>
    </row>
    <row r="47" spans="1:7" x14ac:dyDescent="0.25">
      <c r="A47" s="89">
        <v>45426</v>
      </c>
      <c r="B47" s="90">
        <v>2</v>
      </c>
      <c r="C47" s="91" t="s">
        <v>36</v>
      </c>
      <c r="D47" s="92">
        <v>5.2083333333333336E-2</v>
      </c>
      <c r="E47" s="93" t="s">
        <v>96</v>
      </c>
      <c r="F47" s="85"/>
      <c r="G47" s="84"/>
    </row>
    <row r="48" spans="1:7" ht="60" x14ac:dyDescent="0.25">
      <c r="A48" s="89">
        <v>45426</v>
      </c>
      <c r="B48" s="90">
        <v>2</v>
      </c>
      <c r="C48" s="91" t="s">
        <v>36</v>
      </c>
      <c r="D48" s="92">
        <v>3.125E-2</v>
      </c>
      <c r="E48" s="93" t="s">
        <v>117</v>
      </c>
      <c r="F48" s="85"/>
      <c r="G48" s="84"/>
    </row>
    <row r="49" spans="1:7" ht="30" x14ac:dyDescent="0.25">
      <c r="A49" s="89">
        <v>45426</v>
      </c>
      <c r="B49" s="90">
        <v>2</v>
      </c>
      <c r="C49" s="91" t="s">
        <v>42</v>
      </c>
      <c r="D49" s="92">
        <v>3.125E-2</v>
      </c>
      <c r="E49" s="93" t="s">
        <v>97</v>
      </c>
      <c r="F49" s="85"/>
      <c r="G49" s="84"/>
    </row>
    <row r="50" spans="1:7" x14ac:dyDescent="0.25">
      <c r="A50" s="89">
        <v>45426</v>
      </c>
      <c r="B50" s="90">
        <v>2</v>
      </c>
      <c r="C50" s="91" t="s">
        <v>85</v>
      </c>
      <c r="D50" s="92">
        <v>1.0416666666666666E-2</v>
      </c>
      <c r="E50" s="93" t="s">
        <v>82</v>
      </c>
      <c r="F50" s="85">
        <f>SUM(D45:D50)</f>
        <v>0.16666666666666666</v>
      </c>
      <c r="G50" s="84"/>
    </row>
    <row r="51" spans="1:7" ht="30" x14ac:dyDescent="0.25">
      <c r="A51" s="94">
        <v>45427</v>
      </c>
      <c r="B51" s="95">
        <v>2</v>
      </c>
      <c r="C51" s="96" t="s">
        <v>43</v>
      </c>
      <c r="D51" s="97">
        <v>7.2916666666666671E-2</v>
      </c>
      <c r="E51" s="98" t="s">
        <v>98</v>
      </c>
      <c r="F51" s="85"/>
      <c r="G51" s="84"/>
    </row>
    <row r="52" spans="1:7" x14ac:dyDescent="0.25">
      <c r="A52" s="94">
        <v>45427</v>
      </c>
      <c r="B52" s="95">
        <v>2</v>
      </c>
      <c r="C52" s="96" t="s">
        <v>86</v>
      </c>
      <c r="D52" s="97">
        <v>4.1666666666666664E-2</v>
      </c>
      <c r="E52" s="98" t="s">
        <v>99</v>
      </c>
      <c r="F52" s="85"/>
      <c r="G52" s="84"/>
    </row>
    <row r="53" spans="1:7" ht="30" x14ac:dyDescent="0.25">
      <c r="A53" s="94">
        <v>45427</v>
      </c>
      <c r="B53" s="95">
        <v>2</v>
      </c>
      <c r="C53" s="96" t="s">
        <v>49</v>
      </c>
      <c r="D53" s="97">
        <v>4.1666666666666664E-2</v>
      </c>
      <c r="E53" s="98" t="s">
        <v>100</v>
      </c>
      <c r="F53" s="85"/>
      <c r="G53" s="84"/>
    </row>
    <row r="54" spans="1:7" ht="30" x14ac:dyDescent="0.25">
      <c r="A54" s="94">
        <v>45427</v>
      </c>
      <c r="B54" s="95">
        <v>2</v>
      </c>
      <c r="C54" s="96" t="s">
        <v>85</v>
      </c>
      <c r="D54" s="97">
        <v>1.0416666666666666E-2</v>
      </c>
      <c r="E54" s="98" t="s">
        <v>67</v>
      </c>
      <c r="F54" s="85">
        <f>SUM(D51:D54)</f>
        <v>0.16666666666666666</v>
      </c>
      <c r="G54" s="84"/>
    </row>
    <row r="55" spans="1:7" ht="150" x14ac:dyDescent="0.25">
      <c r="A55" s="89">
        <v>45428</v>
      </c>
      <c r="B55" s="90">
        <v>2</v>
      </c>
      <c r="C55" s="91" t="s">
        <v>54</v>
      </c>
      <c r="D55" s="92">
        <v>2.0833333333333332E-2</v>
      </c>
      <c r="E55" s="93" t="s">
        <v>101</v>
      </c>
      <c r="F55" s="85"/>
      <c r="G55" s="84"/>
    </row>
    <row r="56" spans="1:7" ht="30" x14ac:dyDescent="0.25">
      <c r="A56" s="89">
        <v>45428</v>
      </c>
      <c r="B56" s="90">
        <v>2</v>
      </c>
      <c r="C56" s="91" t="s">
        <v>43</v>
      </c>
      <c r="D56" s="92">
        <v>4.1666666666666664E-2</v>
      </c>
      <c r="E56" s="93" t="s">
        <v>102</v>
      </c>
      <c r="F56" s="85"/>
      <c r="G56" s="84"/>
    </row>
    <row r="57" spans="1:7" ht="45" x14ac:dyDescent="0.25">
      <c r="A57" s="89">
        <v>45428</v>
      </c>
      <c r="B57" s="90">
        <v>2</v>
      </c>
      <c r="C57" s="91" t="s">
        <v>33</v>
      </c>
      <c r="D57" s="92">
        <v>6.25E-2</v>
      </c>
      <c r="E57" s="93" t="s">
        <v>103</v>
      </c>
      <c r="F57" s="85"/>
      <c r="G57" s="84"/>
    </row>
    <row r="58" spans="1:7" ht="105" x14ac:dyDescent="0.25">
      <c r="A58" s="89">
        <v>45428</v>
      </c>
      <c r="B58" s="90">
        <v>2</v>
      </c>
      <c r="C58" s="91" t="s">
        <v>55</v>
      </c>
      <c r="D58" s="92">
        <v>3.4722222222222224E-2</v>
      </c>
      <c r="E58" s="93" t="s">
        <v>104</v>
      </c>
      <c r="F58" s="85"/>
      <c r="G58" s="84"/>
    </row>
    <row r="59" spans="1:7" x14ac:dyDescent="0.25">
      <c r="A59" s="89">
        <v>45428</v>
      </c>
      <c r="B59" s="90">
        <v>2</v>
      </c>
      <c r="C59" s="91" t="s">
        <v>50</v>
      </c>
      <c r="D59" s="92">
        <v>2.7777777777777776E-2</v>
      </c>
      <c r="E59" s="93" t="s">
        <v>105</v>
      </c>
      <c r="F59" s="85"/>
      <c r="G59" s="84"/>
    </row>
    <row r="60" spans="1:7" ht="30" x14ac:dyDescent="0.25">
      <c r="A60" s="89">
        <v>45428</v>
      </c>
      <c r="B60" s="90">
        <v>2</v>
      </c>
      <c r="C60" s="91" t="s">
        <v>86</v>
      </c>
      <c r="D60" s="92">
        <v>6.5972222222222224E-2</v>
      </c>
      <c r="E60" s="93" t="s">
        <v>106</v>
      </c>
      <c r="F60" s="85"/>
      <c r="G60" s="84"/>
    </row>
    <row r="61" spans="1:7" x14ac:dyDescent="0.25">
      <c r="A61" s="89">
        <v>45428</v>
      </c>
      <c r="B61" s="90">
        <v>2</v>
      </c>
      <c r="C61" s="91" t="s">
        <v>85</v>
      </c>
      <c r="D61" s="92">
        <v>1.0416666666666666E-2</v>
      </c>
      <c r="E61" s="93" t="s">
        <v>82</v>
      </c>
      <c r="F61" s="85">
        <f>SUM(D55:D61)</f>
        <v>0.2638888888888889</v>
      </c>
      <c r="G61" s="84"/>
    </row>
    <row r="62" spans="1:7" ht="30" x14ac:dyDescent="0.25">
      <c r="A62" s="94">
        <v>45429</v>
      </c>
      <c r="B62" s="95">
        <v>3</v>
      </c>
      <c r="C62" s="96" t="s">
        <v>37</v>
      </c>
      <c r="D62" s="97">
        <v>6.25E-2</v>
      </c>
      <c r="E62" s="98" t="s">
        <v>107</v>
      </c>
      <c r="F62" s="85"/>
      <c r="G62" s="84"/>
    </row>
    <row r="63" spans="1:7" ht="30" x14ac:dyDescent="0.25">
      <c r="A63" s="94">
        <v>45429</v>
      </c>
      <c r="B63" s="95">
        <v>3</v>
      </c>
      <c r="C63" s="96" t="s">
        <v>37</v>
      </c>
      <c r="D63" s="97">
        <v>9.0277777777777776E-2</v>
      </c>
      <c r="E63" s="98" t="s">
        <v>108</v>
      </c>
      <c r="F63" s="85"/>
      <c r="G63" s="84"/>
    </row>
    <row r="64" spans="1:7" ht="30" x14ac:dyDescent="0.25">
      <c r="A64" s="94">
        <v>45429</v>
      </c>
      <c r="B64" s="95">
        <v>3</v>
      </c>
      <c r="C64" s="96" t="s">
        <v>42</v>
      </c>
      <c r="D64" s="97">
        <v>2.0833333333333332E-2</v>
      </c>
      <c r="E64" s="98" t="s">
        <v>109</v>
      </c>
      <c r="F64" s="85"/>
      <c r="G64" s="84"/>
    </row>
    <row r="65" spans="1:7" ht="30" x14ac:dyDescent="0.25">
      <c r="A65" s="94">
        <v>45429</v>
      </c>
      <c r="B65" s="95">
        <v>3</v>
      </c>
      <c r="C65" s="96" t="s">
        <v>49</v>
      </c>
      <c r="D65" s="97">
        <v>1.3888888888888888E-2</v>
      </c>
      <c r="E65" s="98" t="s">
        <v>110</v>
      </c>
      <c r="F65" s="85"/>
      <c r="G65" s="84"/>
    </row>
    <row r="66" spans="1:7" ht="30" x14ac:dyDescent="0.25">
      <c r="A66" s="94">
        <v>45429</v>
      </c>
      <c r="B66" s="95">
        <v>3</v>
      </c>
      <c r="C66" s="96" t="s">
        <v>85</v>
      </c>
      <c r="D66" s="97">
        <v>1.0416666666666666E-2</v>
      </c>
      <c r="E66" s="98" t="s">
        <v>67</v>
      </c>
      <c r="F66" s="85">
        <f>SUM(D62:D66)</f>
        <v>0.19791666666666669</v>
      </c>
      <c r="G66" s="84"/>
    </row>
    <row r="67" spans="1:7" x14ac:dyDescent="0.25">
      <c r="A67" s="89">
        <v>45433</v>
      </c>
      <c r="B67" s="90">
        <v>3</v>
      </c>
      <c r="C67" s="91" t="s">
        <v>38</v>
      </c>
      <c r="D67" s="92">
        <v>4.1666666666666664E-2</v>
      </c>
      <c r="E67" s="93" t="s">
        <v>112</v>
      </c>
      <c r="F67" s="85"/>
      <c r="G67" s="84"/>
    </row>
    <row r="68" spans="1:7" ht="30" x14ac:dyDescent="0.25">
      <c r="A68" s="89">
        <v>45433</v>
      </c>
      <c r="B68" s="90">
        <v>3</v>
      </c>
      <c r="C68" s="91" t="s">
        <v>38</v>
      </c>
      <c r="D68" s="92">
        <v>4.1666666666666664E-2</v>
      </c>
      <c r="E68" s="93" t="s">
        <v>111</v>
      </c>
      <c r="F68" s="85"/>
    </row>
    <row r="69" spans="1:7" ht="75" x14ac:dyDescent="0.25">
      <c r="A69" s="89">
        <v>45433</v>
      </c>
      <c r="B69" s="90">
        <v>3</v>
      </c>
      <c r="C69" s="91" t="s">
        <v>39</v>
      </c>
      <c r="D69" s="92">
        <v>4.1666666666666664E-2</v>
      </c>
      <c r="E69" s="93" t="s">
        <v>118</v>
      </c>
      <c r="F69" s="85"/>
    </row>
    <row r="70" spans="1:7" x14ac:dyDescent="0.25">
      <c r="A70" s="89">
        <v>45433</v>
      </c>
      <c r="B70" s="90">
        <v>3</v>
      </c>
      <c r="C70" s="91" t="s">
        <v>43</v>
      </c>
      <c r="D70" s="92">
        <v>3.125E-2</v>
      </c>
      <c r="E70" s="93" t="s">
        <v>113</v>
      </c>
      <c r="F70" s="85"/>
    </row>
    <row r="71" spans="1:7" x14ac:dyDescent="0.25">
      <c r="A71" s="89">
        <v>45433</v>
      </c>
      <c r="B71" s="90">
        <v>3</v>
      </c>
      <c r="C71" s="91" t="s">
        <v>85</v>
      </c>
      <c r="D71" s="92">
        <v>1.0416666666666666E-2</v>
      </c>
      <c r="E71" s="93" t="s">
        <v>82</v>
      </c>
      <c r="F71" s="85">
        <f>SUM(D67:D71)</f>
        <v>0.16666666666666666</v>
      </c>
    </row>
    <row r="72" spans="1:7" x14ac:dyDescent="0.25">
      <c r="A72" s="94">
        <v>45434</v>
      </c>
      <c r="B72" s="95">
        <v>3</v>
      </c>
      <c r="C72" s="96"/>
      <c r="D72" s="97"/>
      <c r="E72" s="98"/>
      <c r="F72" s="85">
        <f t="shared" ref="F72:F77" si="0">SUM(D72)</f>
        <v>0</v>
      </c>
    </row>
    <row r="73" spans="1:7" x14ac:dyDescent="0.25">
      <c r="A73" s="89">
        <v>45435</v>
      </c>
      <c r="B73" s="90">
        <v>3</v>
      </c>
      <c r="C73" s="91"/>
      <c r="D73" s="92"/>
      <c r="E73" s="93"/>
      <c r="F73" s="85">
        <f t="shared" si="0"/>
        <v>0</v>
      </c>
    </row>
    <row r="74" spans="1:7" x14ac:dyDescent="0.25">
      <c r="A74" s="94">
        <v>45436</v>
      </c>
      <c r="B74" s="95">
        <v>4</v>
      </c>
      <c r="C74" s="96"/>
      <c r="D74" s="97"/>
      <c r="E74" s="98"/>
      <c r="F74" s="85">
        <f t="shared" si="0"/>
        <v>0</v>
      </c>
    </row>
    <row r="75" spans="1:7" x14ac:dyDescent="0.25">
      <c r="A75" s="89">
        <v>45439</v>
      </c>
      <c r="B75" s="90">
        <v>4</v>
      </c>
      <c r="C75" s="91"/>
      <c r="D75" s="92"/>
      <c r="E75" s="93"/>
      <c r="F75" s="85">
        <f t="shared" si="0"/>
        <v>0</v>
      </c>
    </row>
    <row r="76" spans="1:7" x14ac:dyDescent="0.25">
      <c r="A76" s="94">
        <v>45440</v>
      </c>
      <c r="B76" s="95">
        <v>4</v>
      </c>
      <c r="C76" s="96"/>
      <c r="D76" s="97"/>
      <c r="E76" s="98"/>
      <c r="F76" s="85">
        <f t="shared" si="0"/>
        <v>0</v>
      </c>
    </row>
    <row r="77" spans="1:7" x14ac:dyDescent="0.25">
      <c r="A77" s="89">
        <v>45441</v>
      </c>
      <c r="B77" s="90">
        <v>4</v>
      </c>
      <c r="C77" s="91"/>
      <c r="D77" s="92"/>
      <c r="E77" s="93"/>
      <c r="F77"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2024-05-21T09:41:15Z</dcterms:modified>
  <cp:category/>
  <cp:contentStatus/>
</cp:coreProperties>
</file>