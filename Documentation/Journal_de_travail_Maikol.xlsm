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624" documentId="8_{18B172D2-50FD-4B63-848D-F37510054989}" xr6:coauthVersionLast="47" xr6:coauthVersionMax="47" xr10:uidLastSave="{A0D13E1D-698A-488F-B294-5FAB0803399E}"/>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Journal!$A$1:$E$55</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6" i="6" l="1"/>
  <c r="F47" i="6"/>
  <c r="F48" i="6"/>
  <c r="F49" i="6"/>
  <c r="F50" i="6"/>
  <c r="F51" i="6"/>
  <c r="F52" i="6"/>
  <c r="F53" i="6"/>
  <c r="F54" i="6"/>
  <c r="F55" i="6"/>
  <c r="F45"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<sst xmlns="http://schemas.openxmlformats.org/spreadsheetml/2006/main" count="151" uniqueCount="97">
  <si>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</si>
  <si>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</si>
  <si>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</si>
  <si>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</si>
  <si>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</si>
  <si>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</si>
  <si>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</si>
  <si>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</si>
  <si>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</si>
  <si>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</si>
  <si>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</si>
  <si>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</si>
  <si>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</si>
  <si>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</si>
  <si>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</si>
  <si>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</si>
  <si>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</si>
  <si>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</si>
  <si>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</si>
  <si>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</si>
  <si>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</si>
  <si>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</si>
  <si>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</si>
  <si>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</si>
  <si>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</si>
  <si>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</si>
  <si>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</si>
  <si>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</si>
  <si>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</si>
  <si>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</si>
  <si>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</si>
  <si>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</si>
  <si>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</si>
  <si>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</si>
  <si>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</si>
  <si>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</si>
  <si>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</si>
  <si>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</si>
  <si>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</si>
  <si>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</si>
  <si>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</si>
  <si>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</si>
  <si>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</si>
  <si>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</si>
  <si>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</si>
  <si>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</si>
  <si>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</si>
  <si>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</si>
  <si>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</si>
  <si>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</si>
  <si>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</si>
  <si>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</si>
  <si>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</si>
  <si>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</si>
  <si>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</si>
  <si>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</si>
  <si>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</si>
  <si>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</si>
  <si>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</si>
  <si>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</si>
  <si>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</si>
  <si>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</si>
  <si>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</si>
  <si>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</si>
  <si>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</si>
  <si>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</si>
  <si>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</si>
  <si>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</si>
  <si>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</si>
  <si>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</si>
  <si>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</si>
  <si>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</si>
  <si>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</si>
  <si>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</si>
  <si>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</si>
  <si>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</si>
  <si>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</si>
  <si>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</si>
  <si>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</si>
  <si>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</si>
  <si>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</si>
  <si>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</si>
  <si>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</si>
  <si>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</si>
  <si>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</si>
  <si>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</si>
  <si>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</si>
  <si>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</si>
  <si>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</si>
  <si>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</si>
  <si>
    <t>Mise en place de la nouvelle idée avec les UserControls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</si>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</sst>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J23" sqref="J23"/>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25" zoomScale="85" zoomScaleNormal="85" workbookViewId="0">
      <selection activeCell="P38" sqref="P38"/>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1.65625</v>
      </c>
      <c r="D4" s="4">
        <f ca="1">SUMIF($C$8:$C$9984,$C9,D$8:D$63)</f>
        <v>1.0590277777777777</v>
      </c>
      <c r="E4" s="2"/>
      <c r="F4" s="4">
        <f>SUMIF($C$8:$C$9984,$C9,F$8:F$9984)</f>
        <v>0.59722222222222232</v>
      </c>
      <c r="G4" s="3"/>
      <c r="H4" s="4">
        <f>SUMIF($C$8:$C$9984,$C9,H$8:H$9984)</f>
        <v>0</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0.56944444444444431</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SUMIFS(Journal!$D$4:$D$9339,Journal!$B$4:$B$9339,D$5,Journal!$C$4:$C$9339,$B8)</f>
        <v>2.0833333333333332E-2</v>
      </c>
      <c r="E9" s="52"/>
      <c r="F9" s="52">
        <f>SUMIFS(Journal!$D$4:$D$9339,Journal!$B$4:$B$9339,F$5,Journal!$C$4:$C$9339,$B8)</f>
        <v>0</v>
      </c>
      <c r="G9" s="53"/>
      <c r="H9" s="52">
        <f>SUMIFS(Journal!$D$4:$D$9339,Journal!$B$4:$B$9339,H$5,Journal!$C$4:$C$9339,$B8)</f>
        <v>0</v>
      </c>
      <c r="I9" s="52"/>
      <c r="J9" s="52">
        <f>SUMIFS(Journal!$D$4:$D$9339,Journal!$B$4:$B$9339,J$5,Journal!$C$4:$C$9339,$B8)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SUMIFS(Journal!$D$4:$D$9339,Journal!$B$4:$B$9339,D$5,Journal!$C$4:$C$9339,$B10)</f>
        <v>0</v>
      </c>
      <c r="E11" s="53"/>
      <c r="F11" s="52">
        <f>SUMIFS(Journal!$D$4:$D$9339,Journal!$B$4:$B$9339,F$5,Journal!$C$4:$C$9339,$B10)</f>
        <v>0</v>
      </c>
      <c r="G11" s="53"/>
      <c r="H11" s="52">
        <f>SUMIFS(Journal!$D$4:$D$9339,Journal!$B$4:$B$9339,H$5,Journal!$C$4:$C$9339,$B10)</f>
        <v>0</v>
      </c>
      <c r="I11" s="54"/>
      <c r="J11" s="52">
        <f>SUMIFS(Journal!$D$4:$D$9339,Journal!$B$4:$B$9339,J$5,Journal!$C$4:$C$9339,$B10)</f>
        <v>0</v>
      </c>
      <c r="K11" s="54"/>
      <c r="L11" s="55" t="str">
        <f t="shared" si="0"/>
        <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SUMIFS(Journal!$D$4:$D$9339,Journal!$B$4:$B$9339,D$5,Journal!$C$4:$C$9339,$B12)</f>
        <v>0.14930555555555555</v>
      </c>
      <c r="E13" s="53"/>
      <c r="F13" s="52">
        <f>SUMIFS(Journal!$D$4:$D$9339,Journal!$B$4:$B$9339,F$5,Journal!$C$4:$C$9339,$B12)</f>
        <v>0</v>
      </c>
      <c r="G13" s="53"/>
      <c r="H13" s="52">
        <f>SUMIFS(Journal!$D$4:$D$9339,Journal!$B$4:$B$9339,H$5,Journal!$C$4:$C$9339,$B12)</f>
        <v>0</v>
      </c>
      <c r="I13" s="54"/>
      <c r="J13" s="52">
        <f>SUMIFS(Journal!$D$4:$D$9339,Journal!$B$4:$B$9339,J$5,Journal!$C$4:$C$9339,$B12)</f>
        <v>0</v>
      </c>
      <c r="K13" s="54"/>
      <c r="L13" s="55">
        <f t="shared" si="0"/>
        <v>0.14930555555555555</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SUMIFS(Journal!$D$4:$D$9339,Journal!$B$4:$B$9339,D$5,Journal!$C$4:$C$9339,$B14)</f>
        <v>8.6805555555555552E-2</v>
      </c>
      <c r="E15" s="53"/>
      <c r="F15" s="52">
        <f>SUMIFS(Journal!$D$4:$D$9339,Journal!$B$4:$B$9339,F$5,Journal!$C$4:$C$9339,$B14)</f>
        <v>0</v>
      </c>
      <c r="G15" s="53"/>
      <c r="H15" s="52">
        <f>SUMIFS(Journal!$D$4:$D$9339,Journal!$B$4:$B$9339,H$5,Journal!$C$4:$C$9339,$B14)</f>
        <v>0</v>
      </c>
      <c r="I15" s="53"/>
      <c r="J15" s="52">
        <f>SUMIFS(Journal!$D$4:$D$9339,Journal!$B$4:$B$9339,J$5,Journal!$C$4:$C$9339,$B14)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SUMIFS(Journal!$D$4:$D$9339,Journal!$B$4:$B$9339,D$5,Journal!$C$4:$C$9339,$B16)</f>
        <v>0.1111111111111111</v>
      </c>
      <c r="E17" s="53"/>
      <c r="F17" s="52">
        <f>SUMIFS(Journal!$D$4:$D$9339,Journal!$B$4:$B$9339,F$5,Journal!$C$4:$C$9339,$B16)</f>
        <v>0</v>
      </c>
      <c r="G17" s="53"/>
      <c r="H17" s="52">
        <f>SUMIFS(Journal!$D$4:$D$9339,Journal!$B$4:$B$9339,H$5,Journal!$C$4:$C$9339,$B16)</f>
        <v>0</v>
      </c>
      <c r="I17" s="54"/>
      <c r="J17" s="52">
        <f>SUMIFS(Journal!$D$4:$D$9339,Journal!$B$4:$B$9339,J$5,Journal!$C$4:$C$9339,$B16)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SUMIFS(Journal!$D$4:$D$9339,Journal!$B$4:$B$9339,D$5,Journal!$C$4:$C$9339,$B18)</f>
        <v>0.15277777777777776</v>
      </c>
      <c r="E19" s="53"/>
      <c r="F19" s="52">
        <f>SUMIFS(Journal!$D$4:$D$9339,Journal!$B$4:$B$9339,F$5,Journal!$C$4:$C$9339,$B18)</f>
        <v>0</v>
      </c>
      <c r="G19" s="53"/>
      <c r="H19" s="52">
        <f>SUMIFS(Journal!$D$4:$D$9339,Journal!$B$4:$B$9339,H$5,Journal!$C$4:$C$9339,$B18)</f>
        <v>0</v>
      </c>
      <c r="I19" s="54"/>
      <c r="J19" s="52">
        <f>SUMIFS(Journal!$D$4:$D$9339,Journal!$B$4:$B$9339,J$5,Journal!$C$4:$C$9339,$B18)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SUMIFS(Journal!$D$4:$D$9339,Journal!$B$4:$B$9339,D$5,Journal!$C$4:$C$9339,$B20)</f>
        <v>2.0833333333333332E-2</v>
      </c>
      <c r="E21" s="53"/>
      <c r="F21" s="52">
        <f>SUMIFS(Journal!$D$4:$D$9339,Journal!$B$4:$B$9339,F$5,Journal!$C$4:$C$9339,$B20)</f>
        <v>1.3888888888888888E-2</v>
      </c>
      <c r="G21" s="53"/>
      <c r="H21" s="52">
        <f>SUMIFS(Journal!$D$4:$D$9339,Journal!$B$4:$B$9339,H$5,Journal!$C$4:$C$9339,$B20)</f>
        <v>0</v>
      </c>
      <c r="I21" s="53"/>
      <c r="J21" s="52">
        <f>SUMIFS(Journal!$D$4:$D$9339,Journal!$B$4:$B$9339,J$5,Journal!$C$4:$C$9339,$B20)</f>
        <v>0</v>
      </c>
      <c r="K21" s="53"/>
      <c r="L21" s="55">
        <f t="shared" si="0"/>
        <v>3.4722222222222224E-2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SUMIFS(Journal!$D$4:$D$9339,Journal!$B$4:$B$9339,D$5,Journal!$C$4:$C$9339,$B22)</f>
        <v>1.3888888888888888E-2</v>
      </c>
      <c r="E23" s="53"/>
      <c r="F23" s="52">
        <f>SUMIFS(Journal!$D$7:$D$9296,Journal!$B$7:$B$9296,F$5,Journal!$C$7:$C$9296,$B22)</f>
        <v>0</v>
      </c>
      <c r="G23" s="53"/>
      <c r="H23" s="52">
        <f>SUMIFS(Journal!$D$7:$D$9296,Journal!$B$7:$B$9296,H$5,Journal!$C$7:$C$9296,$B22)</f>
        <v>0</v>
      </c>
      <c r="I23" s="53"/>
      <c r="J23" s="52">
        <f>SUMIFS(Journal!$D$7:$D$9296,Journal!$B$7:$B$9296,J$5,Journal!$C$7:$C$9296,$B22)</f>
        <v>0</v>
      </c>
      <c r="K23" s="53"/>
      <c r="L23" s="55">
        <f t="shared" si="0"/>
        <v>1.3888888888888888E-2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0.79166666666666663</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SUMIFS(Journal!$D$4:$D$9339,Journal!$B$4:$B$9339,D$5,Journal!$C$4:$C$9339,$B26)</f>
        <v>0.10416666666666666</v>
      </c>
      <c r="E27" s="53"/>
      <c r="F27" s="52">
        <f>SUMIFS(Journal!$D$4:$D$9339,Journal!$B$4:$B$9339,F$5,Journal!$C$4:$C$9339,$B26)</f>
        <v>0</v>
      </c>
      <c r="G27" s="53"/>
      <c r="H27" s="52">
        <f>SUMIFS(Journal!$D$4:$D$9339,Journal!$B$4:$B$9339,H$5,Journal!$C$4:$C$9339,$B26)</f>
        <v>0</v>
      </c>
      <c r="I27" s="54"/>
      <c r="J27" s="52">
        <f>SUMIFS(Journal!$D$4:$D$9339,Journal!$B$4:$B$9339,J$5,Journal!$C$4:$C$9339,$B26)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SUMIFS(Journal!$D$4:$D$9339,Journal!$B$4:$B$9339,D$5,Journal!$C$4:$C$9339,$B28)</f>
        <v>0.15277777777777779</v>
      </c>
      <c r="E29" s="53"/>
      <c r="F29" s="52">
        <f>SUMIFS(Journal!$D$4:$D$9339,Journal!$B$4:$B$9339,F$5,Journal!$C$4:$C$9339,$B28)</f>
        <v>0</v>
      </c>
      <c r="G29" s="53"/>
      <c r="H29" s="52">
        <f>SUMIFS(Journal!$D$4:$D$9339,Journal!$B$4:$B$9339,H$5,Journal!$C$4:$C$9339,$B28)</f>
        <v>0</v>
      </c>
      <c r="I29" s="53"/>
      <c r="J29" s="52">
        <f>SUMIFS(Journal!$D$4:$D$9339,Journal!$B$4:$B$9339,J$5,Journal!$C$4:$C$9339,$B28)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SUMIFS(Journal!$D$4:$D$9339,Journal!$B$4:$B$9339,D$5,Journal!$C$4:$C$9339,$B30)</f>
        <v>0</v>
      </c>
      <c r="E31" s="53"/>
      <c r="F31" s="52">
        <f>SUMIFS(Journal!$D$4:$D$9339,Journal!$B$4:$B$9339,F$5,Journal!$C$4:$C$9339,$B30)</f>
        <v>5.2083333333333336E-2</v>
      </c>
      <c r="G31" s="53"/>
      <c r="H31" s="52">
        <f>SUMIFS(Journal!$D$4:$D$9339,Journal!$B$4:$B$9339,H$5,Journal!$C$4:$C$9339,$B30)</f>
        <v>0</v>
      </c>
      <c r="I31" s="54"/>
      <c r="J31" s="52">
        <f>SUMIFS(Journal!$D$4:$D$9339,Journal!$B$4:$B$9339,J$5,Journal!$C$4:$C$9339,$B30)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SUMIFS(Journal!$D$4:$D$9339,Journal!$B$4:$B$9339,D$5,Journal!$C$4:$C$9339,$B32)</f>
        <v>0</v>
      </c>
      <c r="E33" s="53"/>
      <c r="F33" s="52">
        <f>SUMIFS(Journal!$D$4:$D$9339,Journal!$B$4:$B$9339,F$5,Journal!$C$4:$C$9339,$B32)</f>
        <v>0.1388888888888889</v>
      </c>
      <c r="G33" s="53"/>
      <c r="H33" s="52">
        <f>SUMIFS(Journal!$D$4:$D$9339,Journal!$B$4:$B$9339,H$5,Journal!$C$4:$C$9339,$B32)</f>
        <v>0</v>
      </c>
      <c r="I33" s="54"/>
      <c r="J33" s="52">
        <f>SUMIFS(Journal!$D$4:$D$9339,Journal!$B$4:$B$9339,J$5,Journal!$C$4:$C$9339,$B32)</f>
        <v>0</v>
      </c>
      <c r="K33" s="54"/>
      <c r="L33" s="55">
        <f t="shared" si="1"/>
        <v>0.1388888888888889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SUMIFS(Journal!$D$4:$D$9339,Journal!$B$4:$B$9339,D$5,Journal!$C$4:$C$9339,$B34)</f>
        <v>0</v>
      </c>
      <c r="E35" s="53"/>
      <c r="F35" s="52">
        <f>SUMIFS(Journal!$D$4:$D$9339,Journal!$B$4:$B$9339,F$5,Journal!$C$4:$C$9339,$B34)</f>
        <v>0.21875</v>
      </c>
      <c r="G35" s="53"/>
      <c r="H35" s="52">
        <f>SUMIFS(Journal!$D$4:$D$9339,Journal!$B$4:$B$9339,H$5,Journal!$C$4:$C$9339,$B34)</f>
        <v>0</v>
      </c>
      <c r="I35" s="54"/>
      <c r="J35" s="52">
        <f>SUMIFS(Journal!$D$4:$D$9339,Journal!$B$4:$B$9339,J$5,Journal!$C$4:$C$9339,$B34)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SUMIFS(Journal!$D$4:$D$9339,Journal!$B$4:$B$9339,D$5,Journal!$C$4:$C$9339,$B36)</f>
        <v>0</v>
      </c>
      <c r="E37" s="53"/>
      <c r="F37" s="52">
        <f>SUMIFS(Journal!$D$4:$D$9339,Journal!$B$4:$B$9339,F$5,Journal!$C$4:$C$9339,$B36)</f>
        <v>0.125</v>
      </c>
      <c r="G37" s="53"/>
      <c r="H37" s="52">
        <f>SUMIFS(Journal!$D$4:$D$9339,Journal!$B$4:$B$9339,H$5,Journal!$C$4:$C$9339,$B36)</f>
        <v>0</v>
      </c>
      <c r="I37" s="53"/>
      <c r="J37" s="52">
        <f>SUMIFS(Journal!$D$4:$D$9339,Journal!$B$4:$B$9339,J$5,Journal!$C$4:$C$9339,$B36)</f>
        <v>0</v>
      </c>
      <c r="K37" s="53"/>
      <c r="L37" s="55">
        <f t="shared" si="2"/>
        <v>0.125</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SUMIFS(Journal!$D$4:$D$9339,Journal!$B$4:$B$9339,D$5,Journal!$C$4:$C$9339,$B38)</f>
        <v>0</v>
      </c>
      <c r="E39" s="53"/>
      <c r="F39" s="52">
        <f>SUMIFS(Journal!$D$4:$D$9339,Journal!$B$4:$B$9339,F$5,Journal!$C$4:$C$9339,$B38)</f>
        <v>0</v>
      </c>
      <c r="G39" s="53"/>
      <c r="H39" s="52">
        <f>SUMIFS(Journal!$D$4:$D$9339,Journal!$B$4:$B$9339,H$5,Journal!$C$4:$C$9339,$B38)</f>
        <v>0</v>
      </c>
      <c r="I39" s="54"/>
      <c r="J39" s="52">
        <f>SUMIFS(Journal!$D$4:$D$9339,Journal!$B$4:$B$9339,J$5,Journal!$C$4:$C$9339,$B38)</f>
        <v>0</v>
      </c>
      <c r="K39" s="54"/>
      <c r="L39" s="55" t="str">
        <f t="shared" si="2"/>
        <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SUMIFS(Journal!$D$4:$D$9339,Journal!$B$4:$B$9339,D$5,Journal!$C$4:$C$9339,$B40)</f>
        <v>0</v>
      </c>
      <c r="E41" s="53"/>
      <c r="F41" s="52">
        <f>SUMIFS(Journal!$D$4:$D$9339,Journal!$B$4:$B$9339,F$5,Journal!$C$4:$C$9339,$B40)</f>
        <v>0</v>
      </c>
      <c r="G41" s="53"/>
      <c r="H41" s="52">
        <f>SUMIFS(Journal!$D$4:$D$9339,Journal!$B$4:$B$9339,H$5,Journal!$C$4:$C$9339,$B40)</f>
        <v>0</v>
      </c>
      <c r="I41" s="54"/>
      <c r="J41" s="52">
        <f>SUMIFS(Journal!$D$4:$D$9339,Journal!$B$4:$B$9339,J$5,Journal!$C$4:$C$9339,$B40)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SUMIFS(Journal!$D$4:$D$9339,Journal!$B$4:$B$9339,D$5,Journal!$C$4:$C$9339,$B42)</f>
        <v>0</v>
      </c>
      <c r="E43" s="53"/>
      <c r="F43" s="52">
        <f>SUMIFS(Journal!$D$4:$D$9339,Journal!$B$4:$B$9339,F$5,Journal!$C$4:$C$9339,$B42)</f>
        <v>0</v>
      </c>
      <c r="G43" s="53"/>
      <c r="H43" s="52">
        <f>SUMIFS(Journal!$D$4:$D$9339,Journal!$B$4:$B$9339,H$5,Journal!$C$4:$C$9339,$B42)</f>
        <v>0</v>
      </c>
      <c r="I43" s="54"/>
      <c r="J43" s="52">
        <f>SUMIFS(Journal!$D$4:$D$9339,Journal!$B$4:$B$9339,J$5,Journal!$C$4:$C$9339,$B42)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SUMIFS(Journal!$D$4:$D$9339,Journal!$B$4:$B$9339,D$5,Journal!$C$4:$C$9339,$B44)</f>
        <v>0</v>
      </c>
      <c r="E45" s="53"/>
      <c r="F45" s="52">
        <f>SUMIFS(Journal!$D$4:$D$9339,Journal!$B$4:$B$9339,F$5,Journal!$C$4:$C$9339,$B44)</f>
        <v>0</v>
      </c>
      <c r="G45" s="53"/>
      <c r="H45" s="52">
        <f>SUMIFS(Journal!$D$4:$D$9339,Journal!$B$4:$B$9339,H$5,Journal!$C$4:$C$9339,$B44)</f>
        <v>0</v>
      </c>
      <c r="I45" s="53"/>
      <c r="J45" s="52">
        <f>SUMIFS(Journal!$D$4:$D$9339,Journal!$B$4:$B$9339,J$5,Journal!$C$4:$C$9339,$B44)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SUMIFS(Journal!$D$4:$D$9339,Journal!$B$4:$B$9339,D$5,Journal!$C$4:$C$9339,$B46)</f>
        <v>0</v>
      </c>
      <c r="E47" s="53"/>
      <c r="F47" s="52">
        <f>SUMIFS(Journal!$D$4:$D$9339,Journal!$B$4:$B$9339,F$5,Journal!$C$4:$C$9339,$B46)</f>
        <v>0</v>
      </c>
      <c r="G47" s="53"/>
      <c r="H47" s="52">
        <f>SUMIFS(Journal!$D$4:$D$9339,Journal!$B$4:$B$9339,H$5,Journal!$C$4:$C$9339,$B46)</f>
        <v>0</v>
      </c>
      <c r="I47" s="54"/>
      <c r="J47" s="52">
        <f>SUMIFS(Journal!$D$4:$D$9339,Journal!$B$4:$B$9339,J$5,Journal!$C$4:$C$9339,$B46)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SUMIFS(Journal!$D$4:$D$9339,Journal!$B$4:$B$9339,D$5,Journal!$C$4:$C$9339,$B48)</f>
        <v>0</v>
      </c>
      <c r="E49" s="53"/>
      <c r="F49" s="52">
        <f>SUMIFS(Journal!$D$4:$D$9339,Journal!$B$4:$B$9339,F$5,Journal!$C$4:$C$9339,$B48)</f>
        <v>0</v>
      </c>
      <c r="G49" s="53"/>
      <c r="H49" s="52">
        <f>SUMIFS(Journal!$D$4:$D$9339,Journal!$B$4:$B$9339,H$5,Journal!$C$4:$C$9339,$B48)</f>
        <v>0</v>
      </c>
      <c r="I49" s="54"/>
      <c r="J49" s="52">
        <f>SUMIFS(Journal!$D$4:$D$9339,Journal!$B$4:$B$9339,J$5,Journal!$C$4:$C$9339,$B48)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SUMIFS(Journal!$D$4:$D$9339,Journal!$B$4:$B$9339,D$5,Journal!$C$4:$C$9339,$B52)</f>
        <v>0</v>
      </c>
      <c r="E53" s="52">
        <f>SUMIFS(Journal!$D$7:$D$9296,Journal!$B$7:$B$9296,E$5,Journal!$C$7:$C$9296,$B52)</f>
        <v>0</v>
      </c>
      <c r="F53" s="52">
        <f>SUMIFS(Journal!$D$4:$D$9339,Journal!$B$4:$B$9339,F$5,Journal!$C$4:$C$9339,$B52)</f>
        <v>0</v>
      </c>
      <c r="G53" s="52"/>
      <c r="H53" s="52">
        <f>SUMIFS(Journal!$D$4:$D$9339,Journal!$B$4:$B$9339,H$5,Journal!$C$4:$C$9339,$B52)</f>
        <v>0</v>
      </c>
      <c r="I53" s="52"/>
      <c r="J53" s="52">
        <f>SUMIFS(Journal!$D$4:$D$9339,Journal!$B$4:$B$9339,J$5,Journal!$C$4:$C$9339,$B52)</f>
        <v>0</v>
      </c>
      <c r="K53" s="52"/>
      <c r="L53" s="55" t="str">
        <f t="shared" si="4"/>
        <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SUMIFS(Journal!$D$4:$D$9339,Journal!$B$4:$B$9339,D$5,Journal!$C$4:$C$9339,$B54)</f>
        <v>0</v>
      </c>
      <c r="E55" s="53"/>
      <c r="F55" s="52">
        <f>SUMIFS(Journal!$D$4:$D$9339,Journal!$B$4:$B$9339,F$5,Journal!$C$4:$C$9339,$B54)</f>
        <v>0</v>
      </c>
      <c r="G55" s="53"/>
      <c r="H55" s="52">
        <f>SUMIFS(Journal!$D$4:$D$9339,Journal!$B$4:$B$9339,H$5,Journal!$C$4:$C$9339,$B54)</f>
        <v>0</v>
      </c>
      <c r="I55" s="53"/>
      <c r="J55" s="52">
        <f>SUMIFS(Journal!$D$4:$D$9339,Journal!$B$4:$B$9339,J$5,Journal!$C$4:$C$9339,$B54)</f>
        <v>0</v>
      </c>
      <c r="K55" s="53"/>
      <c r="L55" s="55" t="str">
        <f t="shared" si="4"/>
        <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SUMIFS(Journal!$D$4:$D$9339,Journal!$B$4:$B$9339,D$5,Journal!$C$4:$C$9339,$B56)</f>
        <v>0</v>
      </c>
      <c r="E57" s="53"/>
      <c r="F57" s="52">
        <f>SUMIFS(Journal!$D$4:$D$9339,Journal!$B$4:$B$9339,F$5,Journal!$C$4:$C$9339,$B56)</f>
        <v>0</v>
      </c>
      <c r="G57" s="53"/>
      <c r="H57" s="52">
        <f>SUMIFS(Journal!$D$4:$D$9339,Journal!$B$4:$B$9339,H$5,Journal!$C$4:$C$9339,$B56)</f>
        <v>0</v>
      </c>
      <c r="I57" s="53"/>
      <c r="J57" s="52">
        <f>SUMIFS(Journal!$D$4:$D$9339,Journal!$B$4:$B$9339,J$5,Journal!$C$4:$C$9339,$B56)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0.2951388888888889</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SUMIFS(Journal!$D$4:$D$9339,Journal!$B$4:$B$9339,D$5,Journal!$C$4:$C$9339,$B60)</f>
        <v>4.5138888888888881E-2</v>
      </c>
      <c r="E61" s="53"/>
      <c r="F61" s="52">
        <f>SUMIFS(Journal!$D$4:$D$9339,Journal!$B$4:$B$9339,F$5,Journal!$C$4:$C$9339,$B60)</f>
        <v>2.7777777777777776E-2</v>
      </c>
      <c r="G61" s="53"/>
      <c r="H61" s="52">
        <f>SUMIFS(Journal!$D$4:$D$9339,Journal!$B$4:$B$9339,H$5,Journal!$C$4:$C$9339,$B60)</f>
        <v>0</v>
      </c>
      <c r="I61" s="54"/>
      <c r="J61" s="52">
        <f>SUMIFS(Journal!$D$4:$D$9339,Journal!$B$4:$B$9339,J$5,Journal!$C$4:$C$9339,$B60)</f>
        <v>0</v>
      </c>
      <c r="K61" s="54"/>
      <c r="L61" s="55">
        <f>IF(SUM(D61:K61)=0,"",SUM(D61:K61))</f>
        <v>7.2916666666666657E-2</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SUMIFS(Journal!$D$4:$D$9339,Journal!$B$4:$B$9339,D$5,Journal!$C$4:$C$9339,$B62)</f>
        <v>0.2013888888888889</v>
      </c>
      <c r="E63" s="53"/>
      <c r="F63" s="52">
        <f>SUMIFS(Journal!$D$4:$D$9339,Journal!$B$4:$B$9339,F$5,Journal!$C$4:$C$9339,$B62)</f>
        <v>2.0833333333333332E-2</v>
      </c>
      <c r="G63" s="53"/>
      <c r="H63" s="52">
        <f>SUMIFS(Journal!$D$4:$D$9339,Journal!$B$4:$B$9339,H$5,Journal!$C$4:$C$9339,$B62)</f>
        <v>0</v>
      </c>
      <c r="I63" s="54"/>
      <c r="J63" s="52">
        <f>SUMIFS(Journal!$D$4:$D$9339,Journal!$B$4:$B$9339,J$5,Journal!$C$4:$C$9339,$B62)</f>
        <v>0</v>
      </c>
      <c r="K63" s="54"/>
      <c r="L63" s="55">
        <f>IF(SUM(D63:K63)=0,"",SUM(D63:K63))</f>
        <v>0.22222222222222224</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8"/>
  <sheetViews>
    <sheetView tabSelected="1" topLeftCell="A22" workbookViewId="0">
      <selection activeCell="N8" sqref="N8"/>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45425</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8">
        <v>0.16666666666666666</v>
      </c>
      <c r="M9" s="82"/>
    </row>
    <row r="10" spans="1:14" x14ac:dyDescent="0.25">
      <c r="A10" s="94">
        <v>45413</v>
      </c>
      <c r="B10" s="95">
        <v>1</v>
      </c>
      <c r="C10" s="96" t="s">
        <v>51</v>
      </c>
      <c r="D10" s="97">
        <v>2.7777777777777776E-2</v>
      </c>
      <c r="E10" s="98" t="s">
        <v>65</v>
      </c>
      <c r="H10" s="87"/>
      <c r="I10" s="88">
        <v>0.16666666666666666</v>
      </c>
      <c r="M10" s="82"/>
    </row>
    <row r="11" spans="1:14" x14ac:dyDescent="0.25">
      <c r="A11" s="94">
        <v>45413</v>
      </c>
      <c r="B11" s="95">
        <v>1</v>
      </c>
      <c r="C11" s="96" t="s">
        <v>86</v>
      </c>
      <c r="D11" s="97">
        <v>1.3888888888888888E-2</v>
      </c>
      <c r="E11" s="98" t="s">
        <v>61</v>
      </c>
      <c r="F11" s="85">
        <f>SUM(D7:D11)</f>
        <v>0.16666666666666669</v>
      </c>
      <c r="H11" s="87"/>
      <c r="I11" s="88">
        <v>0.2638888888888889</v>
      </c>
      <c r="M11" s="82"/>
    </row>
    <row r="12" spans="1:14" x14ac:dyDescent="0.25">
      <c r="A12" s="89">
        <v>45414</v>
      </c>
      <c r="B12" s="90">
        <v>1</v>
      </c>
      <c r="C12" s="91" t="s">
        <v>51</v>
      </c>
      <c r="D12" s="92">
        <v>5.5555555555555552E-2</v>
      </c>
      <c r="E12" s="93" t="s">
        <v>66</v>
      </c>
      <c r="H12" s="87"/>
      <c r="I12" s="82">
        <v>0.16666666666666666</v>
      </c>
      <c r="M12" s="82"/>
    </row>
    <row r="13" spans="1:14" x14ac:dyDescent="0.25">
      <c r="A13" s="89">
        <v>45414</v>
      </c>
      <c r="B13" s="90">
        <v>1</v>
      </c>
      <c r="C13" s="91" t="s">
        <v>53</v>
      </c>
      <c r="D13" s="92">
        <v>7.6388888888888895E-2</v>
      </c>
      <c r="E13" s="93" t="s">
        <v>67</v>
      </c>
      <c r="F13" s="85"/>
      <c r="H13" s="87"/>
      <c r="I13" s="82">
        <v>0.16666666666666666</v>
      </c>
      <c r="M13" s="82"/>
    </row>
    <row r="14" spans="1:14" x14ac:dyDescent="0.25">
      <c r="A14" s="89">
        <v>45414</v>
      </c>
      <c r="B14" s="90">
        <v>1</v>
      </c>
      <c r="C14" s="91" t="s">
        <v>53</v>
      </c>
      <c r="D14" s="92">
        <v>6.9444444444444434E-2</v>
      </c>
      <c r="E14" s="93" t="s">
        <v>69</v>
      </c>
      <c r="F14" s="85"/>
      <c r="H14" s="87"/>
      <c r="I14" s="82">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2">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ht="15.75" customHeight="1" x14ac:dyDescent="0.25">
      <c r="A36" s="89">
        <v>45420</v>
      </c>
      <c r="B36" s="90">
        <v>2</v>
      </c>
      <c r="C36" s="91" t="s">
        <v>34</v>
      </c>
      <c r="D36" s="92">
        <v>2.0833333333333332E-2</v>
      </c>
      <c r="E36" s="93" t="s">
        <v>90</v>
      </c>
      <c r="F36" s="85"/>
      <c r="G36" s="84"/>
    </row>
    <row r="37" spans="1:7" x14ac:dyDescent="0.25">
      <c r="A37" s="89">
        <v>45420</v>
      </c>
      <c r="B37" s="90">
        <v>2</v>
      </c>
      <c r="C37" s="91" t="s">
        <v>34</v>
      </c>
      <c r="D37" s="92">
        <v>0.1111111111111111</v>
      </c>
      <c r="E37" s="93" t="s">
        <v>91</v>
      </c>
      <c r="F37" s="85"/>
      <c r="G37" s="84"/>
    </row>
    <row r="38" spans="1:7" ht="30" x14ac:dyDescent="0.25">
      <c r="A38" s="89">
        <v>45420</v>
      </c>
      <c r="B38" s="90">
        <v>2</v>
      </c>
      <c r="C38" s="91" t="s">
        <v>33</v>
      </c>
      <c r="D38" s="92">
        <v>2.4305555555555556E-2</v>
      </c>
      <c r="E38" s="93" t="s">
        <v>92</v>
      </c>
      <c r="F38" s="85"/>
      <c r="G38" s="84"/>
    </row>
    <row r="39" spans="1:7" ht="30" x14ac:dyDescent="0.25">
      <c r="A39" s="89">
        <v>45420</v>
      </c>
      <c r="B39" s="90">
        <v>2</v>
      </c>
      <c r="C39" s="91" t="s">
        <v>86</v>
      </c>
      <c r="D39" s="92">
        <v>1.0416666666666666E-2</v>
      </c>
      <c r="E39" s="93" t="s">
        <v>68</v>
      </c>
      <c r="F39" s="85">
        <f>SUM(D36:D39)</f>
        <v>0.16666666666666666</v>
      </c>
      <c r="G39" s="84"/>
    </row>
    <row r="40" spans="1:7" ht="45" x14ac:dyDescent="0.25">
      <c r="A40" s="94">
        <v>45425</v>
      </c>
      <c r="B40" s="95">
        <v>2</v>
      </c>
      <c r="C40" s="96" t="s">
        <v>33</v>
      </c>
      <c r="D40" s="97">
        <v>0.11458333333333333</v>
      </c>
      <c r="E40" s="98" t="s">
        <v>93</v>
      </c>
      <c r="F40" s="85"/>
      <c r="G40" s="84"/>
    </row>
    <row r="41" spans="1:7" ht="30" x14ac:dyDescent="0.25">
      <c r="A41" s="94">
        <v>45425</v>
      </c>
      <c r="B41" s="95">
        <v>2</v>
      </c>
      <c r="C41" s="96" t="s">
        <v>35</v>
      </c>
      <c r="D41" s="97">
        <v>2.0833333333333332E-2</v>
      </c>
      <c r="E41" s="98" t="s">
        <v>94</v>
      </c>
      <c r="F41" s="85"/>
      <c r="G41" s="84"/>
    </row>
    <row r="42" spans="1:7" x14ac:dyDescent="0.25">
      <c r="A42" s="94">
        <v>45425</v>
      </c>
      <c r="B42" s="95">
        <v>2</v>
      </c>
      <c r="C42" s="96" t="s">
        <v>54</v>
      </c>
      <c r="D42" s="97">
        <v>1.3888888888888888E-2</v>
      </c>
      <c r="E42" s="98" t="s">
        <v>95</v>
      </c>
      <c r="F42" s="85"/>
      <c r="G42" s="84"/>
    </row>
    <row r="43" spans="1:7" x14ac:dyDescent="0.25">
      <c r="A43" s="94">
        <v>45425</v>
      </c>
      <c r="B43" s="95">
        <v>2</v>
      </c>
      <c r="C43" s="96" t="s">
        <v>35</v>
      </c>
      <c r="D43" s="97">
        <v>0.10416666666666667</v>
      </c>
      <c r="E43" s="98" t="s">
        <v>96</v>
      </c>
      <c r="F43" s="85"/>
      <c r="G43" s="84"/>
    </row>
    <row r="44" spans="1:7" x14ac:dyDescent="0.25">
      <c r="A44" s="94">
        <v>45425</v>
      </c>
      <c r="B44" s="95">
        <v>2</v>
      </c>
      <c r="C44" s="96" t="s">
        <v>86</v>
      </c>
      <c r="D44" s="97">
        <v>1.0416666666666666E-2</v>
      </c>
      <c r="E44" s="98" t="s">
        <v>83</v>
      </c>
      <c r="F44" s="85">
        <f>SUM(D40:D44)</f>
        <v>0.2638888888888889</v>
      </c>
      <c r="G44" s="84"/>
    </row>
    <row r="45" spans="1:7" x14ac:dyDescent="0.25">
      <c r="A45" s="89">
        <v>45426</v>
      </c>
      <c r="B45" s="90">
        <v>2</v>
      </c>
      <c r="C45" s="91"/>
      <c r="D45" s="92"/>
      <c r="E45" s="93"/>
      <c r="F45" s="85">
        <f>SUM(D45)</f>
        <v>0</v>
      </c>
      <c r="G45" s="84"/>
    </row>
    <row r="46" spans="1:7" x14ac:dyDescent="0.25">
      <c r="A46" s="94">
        <v>45427</v>
      </c>
      <c r="B46" s="95">
        <v>2</v>
      </c>
      <c r="C46" s="96"/>
      <c r="D46" s="97"/>
      <c r="E46" s="98"/>
      <c r="F46" s="85">
        <f t="shared" ref="F46:F55" si="0">SUM(D46)</f>
        <v>0</v>
      </c>
      <c r="G46" s="84"/>
    </row>
    <row r="47" spans="1:7" x14ac:dyDescent="0.25">
      <c r="A47" s="89">
        <v>45428</v>
      </c>
      <c r="B47" s="90">
        <v>2</v>
      </c>
      <c r="C47" s="91"/>
      <c r="D47" s="92"/>
      <c r="E47" s="93"/>
      <c r="F47" s="85">
        <f t="shared" si="0"/>
        <v>0</v>
      </c>
      <c r="G47" s="84"/>
    </row>
    <row r="48" spans="1:7" x14ac:dyDescent="0.25">
      <c r="A48" s="94">
        <v>45429</v>
      </c>
      <c r="B48" s="95">
        <v>3</v>
      </c>
      <c r="C48" s="96"/>
      <c r="D48" s="97"/>
      <c r="E48" s="98"/>
      <c r="F48" s="85">
        <f t="shared" si="0"/>
        <v>0</v>
      </c>
      <c r="G48" s="84"/>
    </row>
    <row r="49" spans="1:7" x14ac:dyDescent="0.25">
      <c r="A49" s="89">
        <v>45433</v>
      </c>
      <c r="B49" s="90">
        <v>3</v>
      </c>
      <c r="C49" s="91"/>
      <c r="D49" s="92"/>
      <c r="E49" s="93"/>
      <c r="F49" s="85">
        <f t="shared" si="0"/>
        <v>0</v>
      </c>
      <c r="G49" s="84"/>
    </row>
    <row r="50" spans="1:7" x14ac:dyDescent="0.25">
      <c r="A50" s="94">
        <v>45434</v>
      </c>
      <c r="B50" s="95">
        <v>3</v>
      </c>
      <c r="C50" s="96"/>
      <c r="D50" s="97"/>
      <c r="E50" s="98"/>
      <c r="F50" s="85">
        <f t="shared" si="0"/>
        <v>0</v>
      </c>
      <c r="G50" s="84"/>
    </row>
    <row r="51" spans="1:7" x14ac:dyDescent="0.25">
      <c r="A51" s="89">
        <v>45435</v>
      </c>
      <c r="B51" s="90">
        <v>3</v>
      </c>
      <c r="C51" s="91"/>
      <c r="D51" s="92"/>
      <c r="E51" s="93"/>
      <c r="F51" s="85">
        <f t="shared" si="0"/>
        <v>0</v>
      </c>
      <c r="G51" s="84"/>
    </row>
    <row r="52" spans="1:7" x14ac:dyDescent="0.25">
      <c r="A52" s="94">
        <v>45436</v>
      </c>
      <c r="B52" s="95">
        <v>4</v>
      </c>
      <c r="C52" s="96"/>
      <c r="D52" s="97"/>
      <c r="E52" s="98"/>
      <c r="F52" s="85">
        <f t="shared" si="0"/>
        <v>0</v>
      </c>
      <c r="G52" s="84"/>
    </row>
    <row r="53" spans="1:7" x14ac:dyDescent="0.25">
      <c r="A53" s="89">
        <v>45439</v>
      </c>
      <c r="B53" s="90">
        <v>4</v>
      </c>
      <c r="C53" s="91"/>
      <c r="D53" s="92"/>
      <c r="E53" s="93"/>
      <c r="F53" s="85">
        <f t="shared" si="0"/>
        <v>0</v>
      </c>
      <c r="G53" s="84"/>
    </row>
    <row r="54" spans="1:7" x14ac:dyDescent="0.25">
      <c r="A54" s="94">
        <v>45440</v>
      </c>
      <c r="B54" s="95">
        <v>4</v>
      </c>
      <c r="C54" s="96"/>
      <c r="D54" s="97"/>
      <c r="E54" s="98"/>
      <c r="F54" s="85">
        <f t="shared" si="0"/>
        <v>0</v>
      </c>
      <c r="G54" s="84"/>
    </row>
    <row r="55" spans="1:7" x14ac:dyDescent="0.25">
      <c r="A55" s="89">
        <v>45441</v>
      </c>
      <c r="B55" s="90">
        <v>4</v>
      </c>
      <c r="C55" s="91"/>
      <c r="D55" s="92"/>
      <c r="E55" s="93"/>
      <c r="F55" s="85">
        <f t="shared" si="0"/>
        <v>0</v>
      </c>
      <c r="G55" s="84"/>
    </row>
    <row r="56" spans="1:7" x14ac:dyDescent="0.25">
      <c r="G56" s="84"/>
    </row>
    <row r="57" spans="1:7" x14ac:dyDescent="0.25">
      <c r="G57" s="84"/>
    </row>
    <row r="58" spans="1:7" x14ac:dyDescent="0.25">
      <c r="G58" s="84"/>
    </row>
    <row r="59" spans="1:7" x14ac:dyDescent="0.25">
      <c r="G59" s="84"/>
    </row>
    <row r="60" spans="1:7" x14ac:dyDescent="0.25">
      <c r="G60" s="84"/>
    </row>
    <row r="61" spans="1:7" x14ac:dyDescent="0.25">
      <c r="G61" s="84"/>
    </row>
    <row r="62" spans="1:7" x14ac:dyDescent="0.25">
      <c r="G62" s="84"/>
    </row>
    <row r="63" spans="1:7" x14ac:dyDescent="0.25">
      <c r="G63" s="84"/>
    </row>
    <row r="64" spans="1:7" x14ac:dyDescent="0.25">
      <c r="G64" s="84"/>
    </row>
    <row r="65" spans="7:7" x14ac:dyDescent="0.25">
      <c r="G65" s="84"/>
    </row>
    <row r="66" spans="7:7" x14ac:dyDescent="0.25">
      <c r="G66" s="84"/>
    </row>
    <row r="67" spans="7:7" x14ac:dyDescent="0.25">
      <c r="G67" s="84"/>
    </row>
    <row r="68" spans="7:7" x14ac:dyDescent="0.25">
      <c r="G68"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2024-05-13T13:59:35Z</dcterms:modified>
  <cp:category/>
  <cp:contentStatus/>
</cp:coreProperties>
</file>