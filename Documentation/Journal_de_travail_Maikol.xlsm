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481" documentId="8_{18B172D2-50FD-4B63-848D-F37510054989}" xr6:coauthVersionLast="47" xr6:coauthVersionMax="47" xr10:uidLastSave="{36EB2287-D935-41E7-9094-8DB72C93526F}"/>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Journal!$A$1:$E$37</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2" i="6" l="1"/>
  <c r="F23" i="6"/>
  <c r="F24" i="6"/>
  <c r="F25" i="6"/>
  <c r="F26" i="6"/>
  <c r="F27" i="6"/>
  <c r="F28" i="6"/>
  <c r="F29" i="6"/>
  <c r="F30" i="6"/>
  <c r="F31" i="6"/>
  <c r="F32" i="6"/>
  <c r="F33" i="6"/>
  <c r="F34" i="6"/>
  <c r="F35" i="6"/>
  <c r="F36" i="6"/>
  <c r="F37"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<sst xmlns="http://schemas.openxmlformats.org/spreadsheetml/2006/main" count="107" uniqueCount="78">
  <si>
    <t>Participants</t>
  </si>
  <si>
    <t>Projet</t>
  </si>
  <si>
    <t>Date début</t>
  </si>
  <si>
    <t>Nom</t>
  </si>
  <si>
    <t>Prénom</t>
  </si>
  <si>
    <t>Activités</t>
  </si>
  <si>
    <t>Tâches</t>
  </si>
  <si>
    <t>1 Analyse</t>
  </si>
  <si>
    <t xml:space="preserve">2 Implémentation </t>
  </si>
  <si>
    <t>3 Tests</t>
  </si>
  <si>
    <t>4 Documentation</t>
  </si>
  <si>
    <t>41 - Journal de travail</t>
  </si>
  <si>
    <t>42 - Rédaction de la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</si>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</sst>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xf numFmtId="165" fontId="11" fillId="9" borderId="23" xfId="0" applyNumberFormat="1" applyFont="1" applyFill="1" applyBorder="1" applyAlignment="1" applyProtection="1">
      <alignment horizontal="left" vertical="top" wrapText="1"/>
      <protection locked="0"/>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A4" sqref="A4:A6"/>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99" t="s">
        <v>64</v>
      </c>
      <c r="B4" s="19">
        <v>45412</v>
      </c>
      <c r="C4" s="20" t="s">
        <v>30</v>
      </c>
      <c r="D4" s="21" t="s">
        <v>29</v>
      </c>
      <c r="E4" s="13"/>
      <c r="F4" s="16" t="s">
        <v>7</v>
      </c>
      <c r="G4" s="16" t="s">
        <v>31</v>
      </c>
      <c r="H4" s="13"/>
    </row>
    <row r="5" spans="1:8" x14ac:dyDescent="0.25">
      <c r="A5" s="100"/>
      <c r="B5" s="13"/>
      <c r="C5" s="13"/>
      <c r="D5" s="13"/>
      <c r="E5" s="13"/>
      <c r="F5" s="11"/>
      <c r="G5" s="17" t="s">
        <v>51</v>
      </c>
      <c r="H5" s="13"/>
    </row>
    <row r="6" spans="1:8" x14ac:dyDescent="0.25">
      <c r="A6" s="101"/>
      <c r="B6" s="13"/>
      <c r="C6" s="13"/>
      <c r="D6" s="13"/>
      <c r="E6" s="13"/>
      <c r="F6" s="11"/>
      <c r="G6" s="17" t="s">
        <v>52</v>
      </c>
      <c r="H6" s="13"/>
    </row>
    <row r="7" spans="1:8" x14ac:dyDescent="0.25">
      <c r="A7" s="13"/>
      <c r="B7" s="13"/>
      <c r="C7" s="13"/>
      <c r="D7" s="13"/>
      <c r="E7" s="13"/>
      <c r="F7" s="11"/>
      <c r="G7" s="17" t="s">
        <v>53</v>
      </c>
      <c r="H7" s="13"/>
    </row>
    <row r="8" spans="1:8" x14ac:dyDescent="0.25">
      <c r="A8" s="13"/>
      <c r="B8" s="13"/>
      <c r="C8" s="13"/>
      <c r="D8" s="13"/>
      <c r="E8" s="13"/>
      <c r="F8" s="11"/>
      <c r="G8" s="17" t="s">
        <v>54</v>
      </c>
      <c r="H8" s="13"/>
    </row>
    <row r="9" spans="1:8" x14ac:dyDescent="0.25">
      <c r="A9" s="13"/>
      <c r="B9" s="13"/>
      <c r="C9" s="13"/>
      <c r="D9" s="13"/>
      <c r="E9" s="13"/>
      <c r="F9" s="11"/>
      <c r="G9" s="17" t="s">
        <v>55</v>
      </c>
      <c r="H9" s="13"/>
    </row>
    <row r="10" spans="1:8" x14ac:dyDescent="0.25">
      <c r="A10" s="13"/>
      <c r="B10" s="13"/>
      <c r="C10" s="13"/>
      <c r="D10" s="13"/>
      <c r="E10" s="13"/>
      <c r="F10" s="11"/>
      <c r="G10" s="17" t="s">
        <v>56</v>
      </c>
      <c r="H10" s="13"/>
    </row>
    <row r="11" spans="1:8" x14ac:dyDescent="0.25">
      <c r="A11" s="13"/>
      <c r="B11" s="13"/>
      <c r="C11" s="13"/>
      <c r="D11" s="13"/>
      <c r="E11" s="13"/>
      <c r="F11" s="11"/>
      <c r="G11" s="18" t="s">
        <v>57</v>
      </c>
      <c r="H11" s="13"/>
    </row>
    <row r="12" spans="1:8" x14ac:dyDescent="0.25">
      <c r="A12" s="13"/>
      <c r="B12" s="13"/>
      <c r="C12" s="13"/>
      <c r="D12" s="13"/>
      <c r="E12" s="13"/>
      <c r="F12" s="16" t="s">
        <v>8</v>
      </c>
      <c r="G12" s="16" t="s">
        <v>32</v>
      </c>
      <c r="H12" s="13"/>
    </row>
    <row r="13" spans="1:8" x14ac:dyDescent="0.25">
      <c r="A13" s="13"/>
      <c r="B13" s="13"/>
      <c r="C13" s="13"/>
      <c r="D13" s="13"/>
      <c r="E13" s="13"/>
      <c r="F13" s="11"/>
      <c r="G13" s="17" t="s">
        <v>33</v>
      </c>
      <c r="H13" s="13"/>
    </row>
    <row r="14" spans="1:8" x14ac:dyDescent="0.25">
      <c r="A14" s="13"/>
      <c r="B14" s="13"/>
      <c r="C14" s="13"/>
      <c r="D14" s="13"/>
      <c r="E14" s="13"/>
      <c r="F14" s="11"/>
      <c r="G14" s="17" t="s">
        <v>34</v>
      </c>
      <c r="H14" s="13"/>
    </row>
    <row r="15" spans="1:8" x14ac:dyDescent="0.25">
      <c r="A15" s="13"/>
      <c r="B15" s="13"/>
      <c r="C15" s="13"/>
      <c r="D15" s="13"/>
      <c r="E15" s="13"/>
      <c r="F15" s="11"/>
      <c r="G15" s="17" t="s">
        <v>35</v>
      </c>
      <c r="H15" s="13"/>
    </row>
    <row r="16" spans="1:8" x14ac:dyDescent="0.25">
      <c r="A16" s="13"/>
      <c r="B16" s="13"/>
      <c r="C16" s="13"/>
      <c r="D16" s="13"/>
      <c r="E16" s="13"/>
      <c r="F16" s="11"/>
      <c r="G16" s="17" t="s">
        <v>36</v>
      </c>
      <c r="H16" s="13"/>
    </row>
    <row r="17" spans="1:8" x14ac:dyDescent="0.25">
      <c r="A17" s="13"/>
      <c r="B17" s="13"/>
      <c r="C17" s="13"/>
      <c r="D17" s="13"/>
      <c r="E17" s="13"/>
      <c r="F17" s="11"/>
      <c r="G17" s="17" t="s">
        <v>37</v>
      </c>
      <c r="H17" s="13"/>
    </row>
    <row r="18" spans="1:8" x14ac:dyDescent="0.25">
      <c r="A18" s="13"/>
      <c r="B18" s="13"/>
      <c r="C18" s="13"/>
      <c r="D18" s="13"/>
      <c r="E18" s="13"/>
      <c r="F18" s="11"/>
      <c r="G18" s="17" t="s">
        <v>38</v>
      </c>
      <c r="H18" s="13"/>
    </row>
    <row r="19" spans="1:8" x14ac:dyDescent="0.25">
      <c r="A19" s="13"/>
      <c r="B19" s="13"/>
      <c r="C19" s="13"/>
      <c r="D19" s="13"/>
      <c r="E19" s="13"/>
      <c r="F19" s="11"/>
      <c r="G19" s="17" t="s">
        <v>39</v>
      </c>
      <c r="H19" s="13"/>
    </row>
    <row r="20" spans="1:8" x14ac:dyDescent="0.25">
      <c r="A20" s="13"/>
      <c r="B20" s="13"/>
      <c r="C20" s="13"/>
      <c r="D20" s="13"/>
      <c r="E20" s="13"/>
      <c r="F20" s="11"/>
      <c r="G20" s="17" t="s">
        <v>40</v>
      </c>
      <c r="H20" s="13"/>
    </row>
    <row r="21" spans="1:8" x14ac:dyDescent="0.25">
      <c r="A21" s="13"/>
      <c r="B21" s="13"/>
      <c r="C21" s="13"/>
      <c r="D21" s="13"/>
      <c r="E21" s="13"/>
      <c r="F21" s="11"/>
      <c r="G21" s="17" t="s">
        <v>41</v>
      </c>
      <c r="H21" s="13"/>
    </row>
    <row r="22" spans="1:8" x14ac:dyDescent="0.25">
      <c r="A22" s="13"/>
      <c r="B22" s="13"/>
      <c r="C22" s="13"/>
      <c r="D22" s="13"/>
      <c r="E22" s="13"/>
      <c r="F22" s="11"/>
      <c r="G22" s="17" t="s">
        <v>42</v>
      </c>
      <c r="H22" s="13"/>
    </row>
    <row r="23" spans="1:8" x14ac:dyDescent="0.25">
      <c r="A23" s="13"/>
      <c r="B23" s="13"/>
      <c r="C23" s="13"/>
      <c r="D23" s="13"/>
      <c r="E23" s="13"/>
      <c r="F23" s="12"/>
      <c r="G23" s="17" t="s">
        <v>43</v>
      </c>
      <c r="H23" s="13"/>
    </row>
    <row r="24" spans="1:8" x14ac:dyDescent="0.25">
      <c r="A24" s="13"/>
      <c r="B24" s="13"/>
      <c r="C24" s="13"/>
      <c r="D24" s="13"/>
      <c r="E24" s="13"/>
      <c r="F24" s="16" t="s">
        <v>9</v>
      </c>
      <c r="G24" s="22" t="s">
        <v>44</v>
      </c>
      <c r="H24" s="13"/>
    </row>
    <row r="25" spans="1:8" x14ac:dyDescent="0.25">
      <c r="A25" s="13"/>
      <c r="B25" s="13"/>
      <c r="C25" s="13"/>
      <c r="D25" s="13"/>
      <c r="E25" s="13"/>
      <c r="F25" s="11"/>
      <c r="G25" s="23" t="s">
        <v>45</v>
      </c>
      <c r="H25" s="13"/>
    </row>
    <row r="26" spans="1:8" x14ac:dyDescent="0.25">
      <c r="A26" s="13"/>
      <c r="B26" s="13"/>
      <c r="C26" s="13"/>
      <c r="D26" s="13"/>
      <c r="E26" s="13"/>
      <c r="F26" s="11"/>
      <c r="G26" s="23" t="s">
        <v>46</v>
      </c>
      <c r="H26" s="13"/>
    </row>
    <row r="27" spans="1:8" x14ac:dyDescent="0.25">
      <c r="A27" s="13"/>
      <c r="B27" s="13"/>
      <c r="C27" s="13"/>
      <c r="D27" s="13"/>
      <c r="E27" s="13"/>
      <c r="F27" s="16" t="s">
        <v>10</v>
      </c>
      <c r="G27" s="22" t="s">
        <v>11</v>
      </c>
      <c r="H27" s="13"/>
    </row>
    <row r="28" spans="1:8" x14ac:dyDescent="0.25">
      <c r="A28" s="13"/>
      <c r="B28" s="13"/>
      <c r="C28" s="13"/>
      <c r="D28" s="13"/>
      <c r="E28" s="13"/>
      <c r="F28" s="11"/>
      <c r="G28" s="23" t="s">
        <v>12</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zoomScale="85" zoomScaleNormal="85" workbookViewId="0">
      <selection activeCell="D16" sqref="D16"/>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13</v>
      </c>
      <c r="E1" s="26"/>
      <c r="F1" s="26"/>
      <c r="G1" s="26"/>
      <c r="H1" s="26"/>
      <c r="I1" s="26"/>
      <c r="J1" s="26"/>
      <c r="K1" s="26"/>
    </row>
    <row r="2" spans="1:12" s="34" customFormat="1" ht="58.5" customHeight="1" thickBot="1" x14ac:dyDescent="0.35">
      <c r="B2" s="29" t="s">
        <v>14</v>
      </c>
      <c r="C2" s="30"/>
      <c r="D2" s="31">
        <f>Base!B4</f>
        <v>45412</v>
      </c>
      <c r="E2" s="32"/>
      <c r="F2" s="31">
        <f>D2+7</f>
        <v>45419</v>
      </c>
      <c r="G2" s="33"/>
      <c r="H2" s="31">
        <f>F2+10</f>
        <v>45429</v>
      </c>
      <c r="I2" s="33"/>
      <c r="J2" s="31">
        <f>H2+7</f>
        <v>45436</v>
      </c>
      <c r="K2" s="33"/>
    </row>
    <row r="3" spans="1:12" ht="17.25" thickBot="1" x14ac:dyDescent="0.3">
      <c r="A3" s="35" t="s">
        <v>15</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0.79513888888888873</v>
      </c>
      <c r="D4" s="4">
        <f ca="1">SUMIF($C$8:$C$9984,$C9,D$8:D$63)</f>
        <v>0.79513888888888873</v>
      </c>
      <c r="E4" s="2"/>
      <c r="F4" s="4">
        <f>SUMIF($C$8:$C$9984,$C9,F$8:F$9984)</f>
        <v>0</v>
      </c>
      <c r="G4" s="3"/>
      <c r="H4" s="4">
        <f>SUMIF($C$8:$C$9984,$C9,H$8:H$9984)</f>
        <v>0</v>
      </c>
      <c r="I4" s="3"/>
      <c r="J4" s="4">
        <f>SUMIF($C$8:$C$9984,$C9,J$8:J$9984)</f>
        <v>0</v>
      </c>
      <c r="K4" s="3"/>
    </row>
    <row r="5" spans="1:12" ht="17.25" thickBot="1" x14ac:dyDescent="0.3">
      <c r="A5" s="26"/>
      <c r="B5" s="26"/>
      <c r="C5" s="39" t="s">
        <v>65</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0.47916666666666663</v>
      </c>
    </row>
    <row r="8" spans="1:12" x14ac:dyDescent="0.25">
      <c r="B8" s="102"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3"/>
      <c r="C9" s="51" t="str">
        <f>A$4</f>
        <v>Da Silva</v>
      </c>
      <c r="D9" s="52">
        <f>SUMIFS(Journal!$D$4:$D$9321,Journal!$B$4:$B$9321,D$5,Journal!$C$4:$C$9321,$B8)</f>
        <v>2.0833333333333332E-2</v>
      </c>
      <c r="E9" s="52"/>
      <c r="F9" s="52">
        <f>SUMIFS(Journal!$D$4:$D$9321,Journal!$B$4:$B$9321,F$5,Journal!$C$4:$C$9321,$B8)</f>
        <v>0</v>
      </c>
      <c r="G9" s="53"/>
      <c r="H9" s="52">
        <f>SUMIFS(Journal!$D$4:$D$9321,Journal!$B$4:$B$9321,H$5,Journal!$C$4:$C$9321,$B8)</f>
        <v>0</v>
      </c>
      <c r="I9" s="52"/>
      <c r="J9" s="52">
        <f>SUMIFS(Journal!$D$4:$D$9321,Journal!$B$4:$B$9321,J$5,Journal!$C$4:$C$9321,$B8)</f>
        <v>0</v>
      </c>
      <c r="K9" s="53"/>
      <c r="L9" s="55">
        <f t="shared" si="0"/>
        <v>2.0833333333333332E-2</v>
      </c>
    </row>
    <row r="10" spans="1:12" x14ac:dyDescent="0.25">
      <c r="B10" s="102"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3"/>
      <c r="C11" s="51" t="str">
        <f>A$4</f>
        <v>Da Silva</v>
      </c>
      <c r="D11" s="52">
        <f>SUMIFS(Journal!$D$4:$D$9321,Journal!$B$4:$B$9321,D$5,Journal!$C$4:$C$9321,$B10)</f>
        <v>0</v>
      </c>
      <c r="E11" s="53"/>
      <c r="F11" s="52">
        <f>SUMIFS(Journal!$D$4:$D$9321,Journal!$B$4:$B$9321,F$5,Journal!$C$4:$C$9321,$B10)</f>
        <v>0</v>
      </c>
      <c r="G11" s="53"/>
      <c r="H11" s="52">
        <f>SUMIFS(Journal!$D$4:$D$9321,Journal!$B$4:$B$9321,H$5,Journal!$C$4:$C$9321,$B10)</f>
        <v>0</v>
      </c>
      <c r="I11" s="54"/>
      <c r="J11" s="52">
        <f>SUMIFS(Journal!$D$4:$D$9321,Journal!$B$4:$B$9321,J$5,Journal!$C$4:$C$9321,$B10)</f>
        <v>0</v>
      </c>
      <c r="K11" s="54"/>
      <c r="L11" s="55" t="str">
        <f t="shared" si="0"/>
        <v/>
      </c>
    </row>
    <row r="12" spans="1:12" x14ac:dyDescent="0.25">
      <c r="B12" s="102"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3"/>
      <c r="C13" s="51" t="str">
        <f>A$4</f>
        <v>Da Silva</v>
      </c>
      <c r="D13" s="52">
        <f>SUMIFS(Journal!$D$4:$D$9321,Journal!$B$4:$B$9321,D$5,Journal!$C$4:$C$9321,$B12)</f>
        <v>0.125</v>
      </c>
      <c r="E13" s="53"/>
      <c r="F13" s="52">
        <f>SUMIFS(Journal!$D$4:$D$9321,Journal!$B$4:$B$9321,F$5,Journal!$C$4:$C$9321,$B12)</f>
        <v>0</v>
      </c>
      <c r="G13" s="53"/>
      <c r="H13" s="52">
        <f>SUMIFS(Journal!$D$4:$D$9321,Journal!$B$4:$B$9321,H$5,Journal!$C$4:$C$9321,$B12)</f>
        <v>0</v>
      </c>
      <c r="I13" s="54"/>
      <c r="J13" s="52">
        <f>SUMIFS(Journal!$D$4:$D$9321,Journal!$B$4:$B$9321,J$5,Journal!$C$4:$C$9321,$B12)</f>
        <v>0</v>
      </c>
      <c r="K13" s="54"/>
      <c r="L13" s="55">
        <f t="shared" si="0"/>
        <v>0.125</v>
      </c>
    </row>
    <row r="14" spans="1:12" x14ac:dyDescent="0.25">
      <c r="B14" s="102"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3"/>
      <c r="C15" s="51" t="str">
        <f>A$4</f>
        <v>Da Silva</v>
      </c>
      <c r="D15" s="52">
        <f>SUMIFS(Journal!$D$4:$D$9321,Journal!$B$4:$B$9321,D$5,Journal!$C$4:$C$9321,$B14)</f>
        <v>8.6805555555555552E-2</v>
      </c>
      <c r="E15" s="53"/>
      <c r="F15" s="52">
        <f>SUMIFS(Journal!$D$4:$D$9321,Journal!$B$4:$B$9321,F$5,Journal!$C$4:$C$9321,$B14)</f>
        <v>0</v>
      </c>
      <c r="G15" s="53"/>
      <c r="H15" s="52">
        <f>SUMIFS(Journal!$D$4:$D$9321,Journal!$B$4:$B$9321,H$5,Journal!$C$4:$C$9321,$B14)</f>
        <v>0</v>
      </c>
      <c r="I15" s="53"/>
      <c r="J15" s="52">
        <f>SUMIFS(Journal!$D$4:$D$9321,Journal!$B$4:$B$9321,J$5,Journal!$C$4:$C$9321,$B14)</f>
        <v>0</v>
      </c>
      <c r="K15" s="53"/>
      <c r="L15" s="55">
        <f t="shared" si="0"/>
        <v>8.6805555555555552E-2</v>
      </c>
    </row>
    <row r="16" spans="1:12" ht="16.5" customHeight="1" x14ac:dyDescent="0.25">
      <c r="B16" s="102"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3"/>
      <c r="C17" s="51" t="str">
        <f>A$4</f>
        <v>Da Silva</v>
      </c>
      <c r="D17" s="52">
        <f>SUMIFS(Journal!$D$4:$D$9321,Journal!$B$4:$B$9321,D$5,Journal!$C$4:$C$9321,$B16)</f>
        <v>7.9861111111111105E-2</v>
      </c>
      <c r="E17" s="53"/>
      <c r="F17" s="52">
        <f>SUMIFS(Journal!$D$4:$D$9321,Journal!$B$4:$B$9321,F$5,Journal!$C$4:$C$9321,$B16)</f>
        <v>0</v>
      </c>
      <c r="G17" s="53"/>
      <c r="H17" s="52">
        <f>SUMIFS(Journal!$D$4:$D$9321,Journal!$B$4:$B$9321,H$5,Journal!$C$4:$C$9321,$B16)</f>
        <v>0</v>
      </c>
      <c r="I17" s="54"/>
      <c r="J17" s="52">
        <f>SUMIFS(Journal!$D$4:$D$9321,Journal!$B$4:$B$9321,J$5,Journal!$C$4:$C$9321,$B16)</f>
        <v>0</v>
      </c>
      <c r="K17" s="54"/>
      <c r="L17" s="55">
        <f t="shared" si="0"/>
        <v>7.9861111111111105E-2</v>
      </c>
    </row>
    <row r="18" spans="1:12" ht="16.5" customHeight="1" x14ac:dyDescent="0.25">
      <c r="B18" s="102"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3"/>
      <c r="C19" s="51" t="str">
        <f>A$4</f>
        <v>Da Silva</v>
      </c>
      <c r="D19" s="52">
        <f>SUMIFS(Journal!$D$4:$D$9321,Journal!$B$4:$B$9321,D$5,Journal!$C$4:$C$9321,$B18)</f>
        <v>0.14583333333333331</v>
      </c>
      <c r="E19" s="53"/>
      <c r="F19" s="52">
        <f>SUMIFS(Journal!$D$4:$D$9321,Journal!$B$4:$B$9321,F$5,Journal!$C$4:$C$9321,$B18)</f>
        <v>0</v>
      </c>
      <c r="G19" s="53"/>
      <c r="H19" s="52">
        <f>SUMIFS(Journal!$D$4:$D$9321,Journal!$B$4:$B$9321,H$5,Journal!$C$4:$C$9321,$B18)</f>
        <v>0</v>
      </c>
      <c r="I19" s="54"/>
      <c r="J19" s="52">
        <f>SUMIFS(Journal!$D$4:$D$9321,Journal!$B$4:$B$9321,J$5,Journal!$C$4:$C$9321,$B18)</f>
        <v>0</v>
      </c>
      <c r="K19" s="54"/>
      <c r="L19" s="55">
        <f t="shared" si="0"/>
        <v>0.14583333333333331</v>
      </c>
    </row>
    <row r="20" spans="1:12" ht="16.5" customHeight="1" x14ac:dyDescent="0.25">
      <c r="B20" s="102" t="str">
        <f>Base!G10</f>
        <v>1.7 - Daily meeting</v>
      </c>
      <c r="C20" s="47" t="str">
        <f>A$3</f>
        <v>Prévu</v>
      </c>
      <c r="D20" s="71"/>
      <c r="E20" s="48"/>
      <c r="F20" s="71"/>
      <c r="G20" s="48"/>
      <c r="H20" s="71"/>
      <c r="I20" s="49"/>
      <c r="J20" s="72"/>
      <c r="K20" s="49"/>
      <c r="L20" s="50" t="str">
        <f t="shared" si="0"/>
        <v/>
      </c>
    </row>
    <row r="21" spans="1:12" ht="17.25" thickBot="1" x14ac:dyDescent="0.3">
      <c r="B21" s="103"/>
      <c r="C21" s="51" t="str">
        <f>A$4</f>
        <v>Da Silva</v>
      </c>
      <c r="D21" s="52">
        <f>SUMIFS(Journal!$D$4:$D$9321,Journal!$B$4:$B$9321,D$5,Journal!$C$4:$C$9321,$B20)</f>
        <v>2.0833333333333332E-2</v>
      </c>
      <c r="E21" s="53"/>
      <c r="F21" s="52">
        <f>SUMIFS(Journal!$D$4:$D$9321,Journal!$B$4:$B$9321,F$5,Journal!$C$4:$C$9321,$B20)</f>
        <v>0</v>
      </c>
      <c r="G21" s="53"/>
      <c r="H21" s="52">
        <f>SUMIFS(Journal!$D$4:$D$9321,Journal!$B$4:$B$9321,H$5,Journal!$C$4:$C$9321,$B20)</f>
        <v>0</v>
      </c>
      <c r="I21" s="53"/>
      <c r="J21" s="52">
        <f>SUMIFS(Journal!$D$4:$D$9321,Journal!$B$4:$B$9321,J$5,Journal!$C$4:$C$9321,$B20)</f>
        <v>0</v>
      </c>
      <c r="K21" s="53"/>
      <c r="L21" s="55">
        <f t="shared" si="0"/>
        <v>2.0833333333333332E-2</v>
      </c>
    </row>
    <row r="22" spans="1:12" x14ac:dyDescent="0.25">
      <c r="B22" s="102"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3"/>
      <c r="C23" s="51" t="str">
        <f>A$4</f>
        <v>Da Silva</v>
      </c>
      <c r="D23" s="52">
        <f>SUMIFS(Journal!$D$4:$D$9321,Journal!$B$4:$B$9321,D$5,Journal!$C$4:$C$9321,$B22)</f>
        <v>0</v>
      </c>
      <c r="E23" s="53"/>
      <c r="F23" s="52">
        <f>SUMIFS(Journal!$D$7:$D$9278,Journal!$B$7:$B$9278,F$5,Journal!$C$7:$C$9278,$B22)</f>
        <v>0</v>
      </c>
      <c r="G23" s="53"/>
      <c r="H23" s="52">
        <f>SUMIFS(Journal!$D$7:$D$9278,Journal!$B$7:$B$9278,H$5,Journal!$C$7:$C$9278,$B22)</f>
        <v>0</v>
      </c>
      <c r="I23" s="53"/>
      <c r="J23" s="52">
        <f>SUMIFS(Journal!$D$7:$D$9278,Journal!$B$7:$B$9278,J$5,Journal!$C$7:$C$9278,$B22)</f>
        <v>0</v>
      </c>
      <c r="K23" s="53"/>
      <c r="L23" s="55" t="str">
        <f t="shared" si="0"/>
        <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0.2361111111111111</v>
      </c>
    </row>
    <row r="26" spans="1:12" ht="19.5" customHeight="1" x14ac:dyDescent="0.25">
      <c r="B26" s="102"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3"/>
      <c r="C27" s="51" t="str">
        <f>A$4</f>
        <v>Da Silva</v>
      </c>
      <c r="D27" s="52">
        <f>SUMIFS(Journal!$D$4:$D$9321,Journal!$B$4:$B$9321,D$5,Journal!$C$4:$C$9321,$B26)</f>
        <v>0.10416666666666666</v>
      </c>
      <c r="E27" s="53"/>
      <c r="F27" s="52">
        <f>SUMIFS(Journal!$D$4:$D$9321,Journal!$B$4:$B$9321,F$5,Journal!$C$4:$C$9321,$B26)</f>
        <v>0</v>
      </c>
      <c r="G27" s="53"/>
      <c r="H27" s="52">
        <f>SUMIFS(Journal!$D$4:$D$9321,Journal!$B$4:$B$9321,H$5,Journal!$C$4:$C$9321,$B26)</f>
        <v>0</v>
      </c>
      <c r="I27" s="54"/>
      <c r="J27" s="52">
        <f>SUMIFS(Journal!$D$4:$D$9321,Journal!$B$4:$B$9321,J$5,Journal!$C$4:$C$9321,$B26)</f>
        <v>0</v>
      </c>
      <c r="K27" s="54"/>
      <c r="L27" s="55">
        <f t="shared" si="1"/>
        <v>0.10416666666666666</v>
      </c>
    </row>
    <row r="28" spans="1:12" ht="15.75" customHeight="1" x14ac:dyDescent="0.25">
      <c r="B28" s="102" t="str">
        <f>Base!G13</f>
        <v>2.2 - Base de données</v>
      </c>
      <c r="C28" s="47" t="str">
        <f>A$3</f>
        <v>Prévu</v>
      </c>
      <c r="D28" s="71">
        <v>0.125</v>
      </c>
      <c r="E28" s="48"/>
      <c r="F28" s="71"/>
      <c r="G28" s="48"/>
      <c r="H28" s="71"/>
      <c r="I28" s="49"/>
      <c r="J28" s="71"/>
      <c r="K28" s="49"/>
      <c r="L28" s="50">
        <f t="shared" si="1"/>
        <v>0.125</v>
      </c>
    </row>
    <row r="29" spans="1:12" ht="17.25" thickBot="1" x14ac:dyDescent="0.3">
      <c r="B29" s="103"/>
      <c r="C29" s="51" t="str">
        <f>A$4</f>
        <v>Da Silva</v>
      </c>
      <c r="D29" s="52">
        <f>SUMIFS(Journal!$D$4:$D$9321,Journal!$B$4:$B$9321,D$5,Journal!$C$4:$C$9321,$B28)</f>
        <v>0.13194444444444445</v>
      </c>
      <c r="E29" s="53"/>
      <c r="F29" s="52">
        <f>SUMIFS(Journal!$D$4:$D$9321,Journal!$B$4:$B$9321,F$5,Journal!$C$4:$C$9321,$B28)</f>
        <v>0</v>
      </c>
      <c r="G29" s="53"/>
      <c r="H29" s="52">
        <f>SUMIFS(Journal!$D$4:$D$9321,Journal!$B$4:$B$9321,H$5,Journal!$C$4:$C$9321,$B28)</f>
        <v>0</v>
      </c>
      <c r="I29" s="53"/>
      <c r="J29" s="52">
        <f>SUMIFS(Journal!$D$4:$D$9321,Journal!$B$4:$B$9321,J$5,Journal!$C$4:$C$9321,$B28)</f>
        <v>0</v>
      </c>
      <c r="K29" s="53"/>
      <c r="L29" s="55">
        <f t="shared" si="1"/>
        <v>0.13194444444444445</v>
      </c>
    </row>
    <row r="30" spans="1:12" ht="16.5" customHeight="1" x14ac:dyDescent="0.25">
      <c r="B30" s="102"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3"/>
      <c r="C31" s="51" t="str">
        <f>A$4</f>
        <v>Da Silva</v>
      </c>
      <c r="D31" s="52">
        <f>SUMIFS(Journal!$D$4:$D$9321,Journal!$B$4:$B$9321,D$5,Journal!$C$4:$C$9321,$B30)</f>
        <v>0</v>
      </c>
      <c r="E31" s="53"/>
      <c r="F31" s="52">
        <f>SUMIFS(Journal!$D$4:$D$9321,Journal!$B$4:$B$9321,F$5,Journal!$C$4:$C$9321,$B30)</f>
        <v>0</v>
      </c>
      <c r="G31" s="53"/>
      <c r="H31" s="52">
        <f>SUMIFS(Journal!$D$4:$D$9321,Journal!$B$4:$B$9321,H$5,Journal!$C$4:$C$9321,$B30)</f>
        <v>0</v>
      </c>
      <c r="I31" s="54"/>
      <c r="J31" s="52">
        <f>SUMIFS(Journal!$D$4:$D$9321,Journal!$B$4:$B$9321,J$5,Journal!$C$4:$C$9321,$B30)</f>
        <v>0</v>
      </c>
      <c r="K31" s="54"/>
      <c r="L31" s="55" t="str">
        <f t="shared" si="1"/>
        <v/>
      </c>
    </row>
    <row r="32" spans="1:12" ht="16.5" customHeight="1" x14ac:dyDescent="0.25">
      <c r="B32" s="102"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3"/>
      <c r="C33" s="51" t="str">
        <f>A$4</f>
        <v>Da Silva</v>
      </c>
      <c r="D33" s="52">
        <f>SUMIFS(Journal!$D$4:$D$9321,Journal!$B$4:$B$9321,D$5,Journal!$C$4:$C$9321,$B32)</f>
        <v>0</v>
      </c>
      <c r="E33" s="53"/>
      <c r="F33" s="52">
        <f>SUMIFS(Journal!$D$4:$D$9321,Journal!$B$4:$B$9321,F$5,Journal!$C$4:$C$9321,$B32)</f>
        <v>0</v>
      </c>
      <c r="G33" s="53"/>
      <c r="H33" s="52">
        <f>SUMIFS(Journal!$D$4:$D$9321,Journal!$B$4:$B$9321,H$5,Journal!$C$4:$C$9321,$B32)</f>
        <v>0</v>
      </c>
      <c r="I33" s="54"/>
      <c r="J33" s="52">
        <f>SUMIFS(Journal!$D$4:$D$9321,Journal!$B$4:$B$9321,J$5,Journal!$C$4:$C$9321,$B32)</f>
        <v>0</v>
      </c>
      <c r="K33" s="54"/>
      <c r="L33" s="55" t="str">
        <f t="shared" si="1"/>
        <v/>
      </c>
    </row>
    <row r="34" spans="2:12" ht="19.5" customHeight="1" x14ac:dyDescent="0.25">
      <c r="B34" s="102"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3"/>
      <c r="C35" s="51" t="str">
        <f>A$4</f>
        <v>Da Silva</v>
      </c>
      <c r="D35" s="52">
        <f>SUMIFS(Journal!$D$4:$D$9321,Journal!$B$4:$B$9321,D$5,Journal!$C$4:$C$9321,$B34)</f>
        <v>0</v>
      </c>
      <c r="E35" s="53"/>
      <c r="F35" s="52">
        <f>SUMIFS(Journal!$D$4:$D$9321,Journal!$B$4:$B$9321,F$5,Journal!$C$4:$C$9321,$B34)</f>
        <v>0</v>
      </c>
      <c r="G35" s="53"/>
      <c r="H35" s="52">
        <f>SUMIFS(Journal!$D$4:$D$9321,Journal!$B$4:$B$9321,H$5,Journal!$C$4:$C$9321,$B34)</f>
        <v>0</v>
      </c>
      <c r="I35" s="54"/>
      <c r="J35" s="52">
        <f>SUMIFS(Journal!$D$4:$D$9321,Journal!$B$4:$B$9321,J$5,Journal!$C$4:$C$9321,$B34)</f>
        <v>0</v>
      </c>
      <c r="K35" s="54"/>
      <c r="L35" s="55" t="str">
        <f t="shared" ref="L35:L41" si="2">IF(SUM(D35:K35)=0,"",SUM(D35:K35))</f>
        <v/>
      </c>
    </row>
    <row r="36" spans="2:12" ht="15.75" customHeight="1" x14ac:dyDescent="0.25">
      <c r="B36" s="102"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3"/>
      <c r="C37" s="51" t="str">
        <f>A$4</f>
        <v>Da Silva</v>
      </c>
      <c r="D37" s="52">
        <f>SUMIFS(Journal!$D$4:$D$9321,Journal!$B$4:$B$9321,D$5,Journal!$C$4:$C$9321,$B36)</f>
        <v>0</v>
      </c>
      <c r="E37" s="53"/>
      <c r="F37" s="52">
        <f>SUMIFS(Journal!$D$4:$D$9321,Journal!$B$4:$B$9321,F$5,Journal!$C$4:$C$9321,$B36)</f>
        <v>0</v>
      </c>
      <c r="G37" s="53"/>
      <c r="H37" s="52">
        <f>SUMIFS(Journal!$D$4:$D$9321,Journal!$B$4:$B$9321,H$5,Journal!$C$4:$C$9321,$B36)</f>
        <v>0</v>
      </c>
      <c r="I37" s="53"/>
      <c r="J37" s="52">
        <f>SUMIFS(Journal!$D$4:$D$9321,Journal!$B$4:$B$9321,J$5,Journal!$C$4:$C$9321,$B36)</f>
        <v>0</v>
      </c>
      <c r="K37" s="53"/>
      <c r="L37" s="55" t="str">
        <f t="shared" si="2"/>
        <v/>
      </c>
    </row>
    <row r="38" spans="2:12" x14ac:dyDescent="0.25">
      <c r="B38" s="102"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3"/>
      <c r="C39" s="51" t="str">
        <f>A$4</f>
        <v>Da Silva</v>
      </c>
      <c r="D39" s="52">
        <f>SUMIFS(Journal!$D$4:$D$9321,Journal!$B$4:$B$9321,D$5,Journal!$C$4:$C$9321,$B38)</f>
        <v>0</v>
      </c>
      <c r="E39" s="53"/>
      <c r="F39" s="52">
        <f>SUMIFS(Journal!$D$4:$D$9321,Journal!$B$4:$B$9321,F$5,Journal!$C$4:$C$9321,$B38)</f>
        <v>0</v>
      </c>
      <c r="G39" s="53"/>
      <c r="H39" s="52">
        <f>SUMIFS(Journal!$D$4:$D$9321,Journal!$B$4:$B$9321,H$5,Journal!$C$4:$C$9321,$B38)</f>
        <v>0</v>
      </c>
      <c r="I39" s="54"/>
      <c r="J39" s="52">
        <f>SUMIFS(Journal!$D$4:$D$9321,Journal!$B$4:$B$9321,J$5,Journal!$C$4:$C$9321,$B38)</f>
        <v>0</v>
      </c>
      <c r="K39" s="54"/>
      <c r="L39" s="55" t="str">
        <f t="shared" si="2"/>
        <v/>
      </c>
    </row>
    <row r="40" spans="2:12" ht="16.5" customHeight="1" x14ac:dyDescent="0.25">
      <c r="B40" s="102"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3"/>
      <c r="C41" s="51" t="str">
        <f>A$4</f>
        <v>Da Silva</v>
      </c>
      <c r="D41" s="52">
        <f>SUMIFS(Journal!$D$4:$D$9321,Journal!$B$4:$B$9321,D$5,Journal!$C$4:$C$9321,$B40)</f>
        <v>0</v>
      </c>
      <c r="E41" s="53"/>
      <c r="F41" s="52">
        <f>SUMIFS(Journal!$D$4:$D$9321,Journal!$B$4:$B$9321,F$5,Journal!$C$4:$C$9321,$B40)</f>
        <v>0</v>
      </c>
      <c r="G41" s="53"/>
      <c r="H41" s="52">
        <f>SUMIFS(Journal!$D$4:$D$9321,Journal!$B$4:$B$9321,H$5,Journal!$C$4:$C$9321,$B40)</f>
        <v>0</v>
      </c>
      <c r="I41" s="54"/>
      <c r="J41" s="52">
        <f>SUMIFS(Journal!$D$4:$D$9321,Journal!$B$4:$B$9321,J$5,Journal!$C$4:$C$9321,$B40)</f>
        <v>0</v>
      </c>
      <c r="K41" s="54"/>
      <c r="L41" s="55" t="str">
        <f t="shared" si="2"/>
        <v/>
      </c>
    </row>
    <row r="42" spans="2:12" ht="19.5" customHeight="1" x14ac:dyDescent="0.25">
      <c r="B42" s="102" t="str">
        <f>Base!G20</f>
        <v>2.9 - Mettre en favoris</v>
      </c>
      <c r="C42" s="47" t="str">
        <f>A$3</f>
        <v>Prévu</v>
      </c>
      <c r="D42" s="71"/>
      <c r="E42" s="48"/>
      <c r="F42" s="71"/>
      <c r="G42" s="48"/>
      <c r="H42" s="71">
        <v>0.125</v>
      </c>
      <c r="I42" s="49"/>
      <c r="J42" s="72"/>
      <c r="K42" s="49"/>
      <c r="L42" s="50">
        <f>IF(SUM(E42:K42)=0,"",SUM(E42:K42))</f>
        <v>0.125</v>
      </c>
    </row>
    <row r="43" spans="2:12" x14ac:dyDescent="0.25">
      <c r="B43" s="103"/>
      <c r="C43" s="51" t="str">
        <f>A$4</f>
        <v>Da Silva</v>
      </c>
      <c r="D43" s="52">
        <f>SUMIFS(Journal!$D$4:$D$9321,Journal!$B$4:$B$9321,D$5,Journal!$C$4:$C$9321,$B42)</f>
        <v>0</v>
      </c>
      <c r="E43" s="53"/>
      <c r="F43" s="52">
        <f>SUMIFS(Journal!$D$4:$D$9321,Journal!$B$4:$B$9321,F$5,Journal!$C$4:$C$9321,$B42)</f>
        <v>0</v>
      </c>
      <c r="G43" s="53"/>
      <c r="H43" s="52">
        <f>SUMIFS(Journal!$D$4:$D$9321,Journal!$B$4:$B$9321,H$5,Journal!$C$4:$C$9321,$B42)</f>
        <v>0</v>
      </c>
      <c r="I43" s="54"/>
      <c r="J43" s="52">
        <f>SUMIFS(Journal!$D$4:$D$9321,Journal!$B$4:$B$9321,J$5,Journal!$C$4:$C$9321,$B42)</f>
        <v>0</v>
      </c>
      <c r="K43" s="54"/>
      <c r="L43" s="55" t="str">
        <f t="shared" ref="L43:L49" si="3">IF(SUM(D43:K43)=0,"",SUM(D43:K43))</f>
        <v/>
      </c>
    </row>
    <row r="44" spans="2:12" ht="15.75" customHeight="1" x14ac:dyDescent="0.25">
      <c r="B44" s="102"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3"/>
      <c r="C45" s="51" t="str">
        <f>A$4</f>
        <v>Da Silva</v>
      </c>
      <c r="D45" s="52">
        <f>SUMIFS(Journal!$D$4:$D$9321,Journal!$B$4:$B$9321,D$5,Journal!$C$4:$C$9321,$B44)</f>
        <v>0</v>
      </c>
      <c r="E45" s="53"/>
      <c r="F45" s="52">
        <f>SUMIFS(Journal!$D$4:$D$9321,Journal!$B$4:$B$9321,F$5,Journal!$C$4:$C$9321,$B44)</f>
        <v>0</v>
      </c>
      <c r="G45" s="53"/>
      <c r="H45" s="52">
        <f>SUMIFS(Journal!$D$4:$D$9321,Journal!$B$4:$B$9321,H$5,Journal!$C$4:$C$9321,$B44)</f>
        <v>0</v>
      </c>
      <c r="I45" s="53"/>
      <c r="J45" s="52">
        <f>SUMIFS(Journal!$D$4:$D$9321,Journal!$B$4:$B$9321,J$5,Journal!$C$4:$C$9321,$B44)</f>
        <v>0</v>
      </c>
      <c r="K45" s="53"/>
      <c r="L45" s="55" t="str">
        <f t="shared" si="3"/>
        <v/>
      </c>
    </row>
    <row r="46" spans="2:12" x14ac:dyDescent="0.25">
      <c r="B46" s="102"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3"/>
      <c r="C47" s="51" t="str">
        <f>A$4</f>
        <v>Da Silva</v>
      </c>
      <c r="D47" s="52">
        <f>SUMIFS(Journal!$D$4:$D$9321,Journal!$B$4:$B$9321,D$5,Journal!$C$4:$C$9321,$B46)</f>
        <v>0</v>
      </c>
      <c r="E47" s="53"/>
      <c r="F47" s="52">
        <f>SUMIFS(Journal!$D$4:$D$9321,Journal!$B$4:$B$9321,F$5,Journal!$C$4:$C$9321,$B46)</f>
        <v>0</v>
      </c>
      <c r="G47" s="53"/>
      <c r="H47" s="52">
        <f>SUMIFS(Journal!$D$4:$D$9321,Journal!$B$4:$B$9321,H$5,Journal!$C$4:$C$9321,$B46)</f>
        <v>0</v>
      </c>
      <c r="I47" s="54"/>
      <c r="J47" s="52">
        <f>SUMIFS(Journal!$D$4:$D$9321,Journal!$B$4:$B$9321,J$5,Journal!$C$4:$C$9321,$B46)</f>
        <v>0</v>
      </c>
      <c r="K47" s="54"/>
      <c r="L47" s="55" t="str">
        <f t="shared" si="3"/>
        <v/>
      </c>
    </row>
    <row r="48" spans="2:12" x14ac:dyDescent="0.25">
      <c r="B48" s="102"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3"/>
      <c r="C49" s="51" t="str">
        <f>A$4</f>
        <v>Da Silva</v>
      </c>
      <c r="D49" s="52">
        <f>SUMIFS(Journal!$D$4:$D$9321,Journal!$B$4:$B$9321,D$5,Journal!$C$4:$C$9321,$B48)</f>
        <v>0</v>
      </c>
      <c r="E49" s="53"/>
      <c r="F49" s="52">
        <f>SUMIFS(Journal!$D$4:$D$9321,Journal!$B$4:$B$9321,F$5,Journal!$C$4:$C$9321,$B48)</f>
        <v>0</v>
      </c>
      <c r="G49" s="53"/>
      <c r="H49" s="52">
        <f>SUMIFS(Journal!$D$4:$D$9321,Journal!$B$4:$B$9321,H$5,Journal!$C$4:$C$9321,$B48)</f>
        <v>0</v>
      </c>
      <c r="I49" s="54"/>
      <c r="J49" s="52">
        <f>SUMIFS(Journal!$D$4:$D$9321,Journal!$B$4:$B$9321,J$5,Journal!$C$4:$C$9321,$B48)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v>
      </c>
    </row>
    <row r="52" spans="1:12" x14ac:dyDescent="0.25">
      <c r="B52" s="102"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3"/>
      <c r="C53" s="51" t="str">
        <f>A$4</f>
        <v>Da Silva</v>
      </c>
      <c r="D53" s="52">
        <f>SUMIFS(Journal!$D$4:$D$9321,Journal!$B$4:$B$9321,D$5,Journal!$C$4:$C$9321,$B52)</f>
        <v>0</v>
      </c>
      <c r="E53" s="52">
        <f>SUMIFS(Journal!$D$7:$D$9278,Journal!$B$7:$B$9278,E$5,Journal!$C$7:$C$9278,$B52)</f>
        <v>0</v>
      </c>
      <c r="F53" s="52">
        <f>SUMIFS(Journal!$D$4:$D$9321,Journal!$B$4:$B$9321,F$5,Journal!$C$4:$C$9321,$B52)</f>
        <v>0</v>
      </c>
      <c r="G53" s="52"/>
      <c r="H53" s="52">
        <f>SUMIFS(Journal!$D$4:$D$9321,Journal!$B$4:$B$9321,H$5,Journal!$C$4:$C$9321,$B52)</f>
        <v>0</v>
      </c>
      <c r="I53" s="52"/>
      <c r="J53" s="52">
        <f>SUMIFS(Journal!$D$4:$D$9321,Journal!$B$4:$B$9321,J$5,Journal!$C$4:$C$9321,$B52)</f>
        <v>0</v>
      </c>
      <c r="K53" s="52"/>
      <c r="L53" s="55" t="str">
        <f t="shared" si="4"/>
        <v/>
      </c>
    </row>
    <row r="54" spans="1:12" x14ac:dyDescent="0.25">
      <c r="B54" s="104"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3"/>
      <c r="C55" s="51" t="str">
        <f>A$4</f>
        <v>Da Silva</v>
      </c>
      <c r="D55" s="52">
        <f>SUMIFS(Journal!$D$4:$D$9321,Journal!$B$4:$B$9321,D$5,Journal!$C$4:$C$9321,$B54)</f>
        <v>0</v>
      </c>
      <c r="E55" s="53"/>
      <c r="F55" s="52">
        <f>SUMIFS(Journal!$D$4:$D$9321,Journal!$B$4:$B$9321,F$5,Journal!$C$4:$C$9321,$B54)</f>
        <v>0</v>
      </c>
      <c r="G55" s="53"/>
      <c r="H55" s="52">
        <f>SUMIFS(Journal!$D$4:$D$9321,Journal!$B$4:$B$9321,H$5,Journal!$C$4:$C$9321,$B54)</f>
        <v>0</v>
      </c>
      <c r="I55" s="53"/>
      <c r="J55" s="52">
        <f>SUMIFS(Journal!$D$4:$D$9321,Journal!$B$4:$B$9321,J$5,Journal!$C$4:$C$9321,$B54)</f>
        <v>0</v>
      </c>
      <c r="K55" s="53"/>
      <c r="L55" s="55" t="str">
        <f t="shared" si="4"/>
        <v/>
      </c>
    </row>
    <row r="56" spans="1:12" x14ac:dyDescent="0.25">
      <c r="B56" s="104"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3"/>
      <c r="C57" s="51" t="str">
        <f>A$4</f>
        <v>Da Silva</v>
      </c>
      <c r="D57" s="52">
        <f>SUMIFS(Journal!$D$4:$D$9321,Journal!$B$4:$B$9321,D$5,Journal!$C$4:$C$9321,$B56)</f>
        <v>0</v>
      </c>
      <c r="E57" s="53"/>
      <c r="F57" s="52">
        <f>SUMIFS(Journal!$D$4:$D$9321,Journal!$B$4:$B$9321,F$5,Journal!$C$4:$C$9321,$B56)</f>
        <v>0</v>
      </c>
      <c r="G57" s="53"/>
      <c r="H57" s="52">
        <f>SUMIFS(Journal!$D$4:$D$9321,Journal!$B$4:$B$9321,H$5,Journal!$C$4:$C$9321,$B56)</f>
        <v>0</v>
      </c>
      <c r="I57" s="53"/>
      <c r="J57" s="52">
        <f>SUMIFS(Journal!$D$4:$D$9321,Journal!$B$4:$B$9321,J$5,Journal!$C$4:$C$9321,$B56)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7.9861111111111105E-2</v>
      </c>
    </row>
    <row r="60" spans="1:12" x14ac:dyDescent="0.25">
      <c r="B60" s="102"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3"/>
      <c r="C61" s="51" t="str">
        <f>A$4</f>
        <v>Da Silva</v>
      </c>
      <c r="D61" s="52">
        <f>SUMIFS(Journal!$D$4:$D$9321,Journal!$B$4:$B$9321,D$5,Journal!$C$4:$C$9321,$B60)</f>
        <v>3.8194444444444441E-2</v>
      </c>
      <c r="E61" s="53"/>
      <c r="F61" s="52">
        <f>SUMIFS(Journal!$D$4:$D$9321,Journal!$B$4:$B$9321,F$5,Journal!$C$4:$C$9321,$B60)</f>
        <v>0</v>
      </c>
      <c r="G61" s="53"/>
      <c r="H61" s="52">
        <f>SUMIFS(Journal!$D$4:$D$9321,Journal!$B$4:$B$9321,H$5,Journal!$C$4:$C$9321,$B60)</f>
        <v>0</v>
      </c>
      <c r="I61" s="54"/>
      <c r="J61" s="52">
        <f>SUMIFS(Journal!$D$4:$D$9321,Journal!$B$4:$B$9321,J$5,Journal!$C$4:$C$9321,$B60)</f>
        <v>0</v>
      </c>
      <c r="K61" s="54"/>
      <c r="L61" s="55">
        <f>IF(SUM(D61:K61)=0,"",SUM(D61:K61))</f>
        <v>3.8194444444444441E-2</v>
      </c>
    </row>
    <row r="62" spans="1:12" ht="19.5" customHeight="1" x14ac:dyDescent="0.25">
      <c r="B62" s="104"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3"/>
      <c r="C63" s="51" t="str">
        <f>A$4</f>
        <v>Da Silva</v>
      </c>
      <c r="D63" s="52">
        <f>SUMIFS(Journal!$D$4:$D$9321,Journal!$B$4:$B$9321,D$5,Journal!$C$4:$C$9321,$B62)</f>
        <v>4.1666666666666664E-2</v>
      </c>
      <c r="E63" s="53"/>
      <c r="F63" s="52">
        <f>SUMIFS(Journal!$D$4:$D$9321,Journal!$B$4:$B$9321,F$5,Journal!$C$4:$C$9321,$B62)</f>
        <v>0</v>
      </c>
      <c r="G63" s="53"/>
      <c r="H63" s="52">
        <f>SUMIFS(Journal!$D$4:$D$9321,Journal!$B$4:$B$9321,H$5,Journal!$C$4:$C$9321,$B62)</f>
        <v>0</v>
      </c>
      <c r="I63" s="54"/>
      <c r="J63" s="52">
        <f>SUMIFS(Journal!$D$4:$D$9321,Journal!$B$4:$B$9321,J$5,Journal!$C$4:$C$9321,$B62)</f>
        <v>0</v>
      </c>
      <c r="K63" s="54"/>
      <c r="L63" s="55">
        <f>IF(SUM(D63:K63)=0,"",SUM(D63:K63))</f>
        <v>4.1666666666666664E-2</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8:B9"/>
    <mergeCell ref="B16:B17"/>
    <mergeCell ref="B18:B19"/>
    <mergeCell ref="B20:B21"/>
    <mergeCell ref="B10:B11"/>
    <mergeCell ref="B12:B13"/>
    <mergeCell ref="B14:B15"/>
    <mergeCell ref="B22:B23"/>
    <mergeCell ref="B42:B43"/>
    <mergeCell ref="B44:B45"/>
    <mergeCell ref="B46:B47"/>
    <mergeCell ref="B48:B49"/>
    <mergeCell ref="B26:B27"/>
    <mergeCell ref="B28:B29"/>
    <mergeCell ref="B30:B31"/>
    <mergeCell ref="B32:B33"/>
    <mergeCell ref="B34:B35"/>
    <mergeCell ref="B36:B37"/>
    <mergeCell ref="B38:B39"/>
    <mergeCell ref="B40:B41"/>
    <mergeCell ref="B52:B53"/>
    <mergeCell ref="B54:B55"/>
    <mergeCell ref="B56:B57"/>
    <mergeCell ref="B60:B61"/>
    <mergeCell ref="B62:B63"/>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8"/>
  <sheetViews>
    <sheetView tabSelected="1" workbookViewId="0">
      <selection activeCell="Q10" sqref="Q10"/>
    </sheetView>
  </sheetViews>
  <sheetFormatPr baseColWidth="10" defaultColWidth="11.42578125" defaultRowHeight="15" x14ac:dyDescent="0.25"/>
  <cols>
    <col min="1" max="1" width="10.7109375" bestFit="1" customWidth="1"/>
    <col min="2" max="2" width="8" customWidth="1"/>
    <col min="3" max="3" width="35.8554687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45415</v>
      </c>
    </row>
    <row r="2" spans="1:14" x14ac:dyDescent="0.25">
      <c r="A2" s="76" t="s">
        <v>16</v>
      </c>
      <c r="B2" s="77"/>
      <c r="C2" s="77"/>
      <c r="D2" s="77"/>
      <c r="E2" s="79"/>
    </row>
    <row r="3" spans="1:14" x14ac:dyDescent="0.25">
      <c r="A3" s="80" t="s">
        <v>17</v>
      </c>
      <c r="B3" s="80" t="s">
        <v>65</v>
      </c>
      <c r="C3" s="80" t="s">
        <v>18</v>
      </c>
      <c r="D3" s="80" t="s">
        <v>19</v>
      </c>
      <c r="E3" s="81" t="s">
        <v>20</v>
      </c>
    </row>
    <row r="4" spans="1:14" ht="45" x14ac:dyDescent="0.25">
      <c r="A4" s="89">
        <v>45412</v>
      </c>
      <c r="B4" s="90">
        <v>1</v>
      </c>
      <c r="C4" s="91" t="s">
        <v>31</v>
      </c>
      <c r="D4" s="92">
        <v>2.0833333333333332E-2</v>
      </c>
      <c r="E4" s="93" t="s">
        <v>59</v>
      </c>
      <c r="H4" s="86" t="s">
        <v>47</v>
      </c>
      <c r="I4" s="88">
        <v>0.16666666666666666</v>
      </c>
    </row>
    <row r="5" spans="1:14" x14ac:dyDescent="0.25">
      <c r="A5" s="89">
        <v>45412</v>
      </c>
      <c r="B5" s="90">
        <v>1</v>
      </c>
      <c r="C5" s="91" t="s">
        <v>32</v>
      </c>
      <c r="D5" s="92">
        <v>6.25E-2</v>
      </c>
      <c r="E5" s="93" t="s">
        <v>58</v>
      </c>
      <c r="F5" s="83"/>
      <c r="H5" s="86"/>
      <c r="I5" s="88">
        <v>0.16666666666666666</v>
      </c>
    </row>
    <row r="6" spans="1:14" x14ac:dyDescent="0.25">
      <c r="A6" s="89">
        <v>45412</v>
      </c>
      <c r="B6" s="90">
        <v>1</v>
      </c>
      <c r="C6" s="91" t="s">
        <v>52</v>
      </c>
      <c r="D6" s="92">
        <v>8.3333333333333329E-2</v>
      </c>
      <c r="E6" s="93" t="s">
        <v>60</v>
      </c>
      <c r="F6" s="85">
        <f>SUM(D4:D6)</f>
        <v>0.16666666666666666</v>
      </c>
      <c r="H6" s="86"/>
      <c r="I6" s="88">
        <v>0.2638888888888889</v>
      </c>
    </row>
    <row r="7" spans="1:14" x14ac:dyDescent="0.25">
      <c r="A7" s="94">
        <v>45413</v>
      </c>
      <c r="B7" s="95">
        <v>1</v>
      </c>
      <c r="C7" s="96" t="s">
        <v>52</v>
      </c>
      <c r="D7" s="97">
        <v>4.1666666666666664E-2</v>
      </c>
      <c r="E7" s="98" t="s">
        <v>61</v>
      </c>
      <c r="H7" s="86"/>
      <c r="I7" s="88">
        <v>0.19791666666666666</v>
      </c>
    </row>
    <row r="8" spans="1:14" x14ac:dyDescent="0.25">
      <c r="A8" s="94">
        <v>45413</v>
      </c>
      <c r="B8" s="95">
        <v>1</v>
      </c>
      <c r="C8" s="96" t="s">
        <v>12</v>
      </c>
      <c r="D8" s="97">
        <v>4.1666666666666664E-2</v>
      </c>
      <c r="E8" s="98" t="s">
        <v>62</v>
      </c>
      <c r="F8" s="83"/>
      <c r="H8" s="86"/>
      <c r="I8" s="82">
        <v>0.2638888888888889</v>
      </c>
      <c r="J8" s="84" t="s">
        <v>14</v>
      </c>
      <c r="K8" s="85">
        <f>SUM(I4:I8)</f>
        <v>1.0590277777777777</v>
      </c>
      <c r="M8" s="82"/>
    </row>
    <row r="9" spans="1:14" x14ac:dyDescent="0.25">
      <c r="A9" s="94">
        <v>45413</v>
      </c>
      <c r="B9" s="95">
        <v>1</v>
      </c>
      <c r="C9" s="96" t="s">
        <v>32</v>
      </c>
      <c r="D9" s="97">
        <v>4.1666666666666664E-2</v>
      </c>
      <c r="E9" s="98" t="s">
        <v>66</v>
      </c>
      <c r="F9" s="83"/>
      <c r="H9" s="87" t="s">
        <v>48</v>
      </c>
      <c r="I9" s="82">
        <v>0.16666666666666666</v>
      </c>
      <c r="M9" s="82"/>
    </row>
    <row r="10" spans="1:14" x14ac:dyDescent="0.25">
      <c r="A10" s="94">
        <v>45413</v>
      </c>
      <c r="B10" s="95">
        <v>1</v>
      </c>
      <c r="C10" s="96" t="s">
        <v>53</v>
      </c>
      <c r="D10" s="97">
        <v>2.7777777777777776E-2</v>
      </c>
      <c r="E10" s="98" t="s">
        <v>67</v>
      </c>
      <c r="H10" s="87"/>
      <c r="I10" s="82">
        <v>0.16666666666666666</v>
      </c>
      <c r="M10" s="82"/>
    </row>
    <row r="11" spans="1:14" x14ac:dyDescent="0.25">
      <c r="A11" s="94">
        <v>45413</v>
      </c>
      <c r="B11" s="95">
        <v>1</v>
      </c>
      <c r="C11" s="96" t="s">
        <v>11</v>
      </c>
      <c r="D11" s="97">
        <v>1.3888888888888888E-2</v>
      </c>
      <c r="E11" s="98" t="s">
        <v>63</v>
      </c>
      <c r="F11" s="85">
        <f>SUM(D7:D11)</f>
        <v>0.16666666666666669</v>
      </c>
      <c r="H11" s="87"/>
      <c r="I11" s="82">
        <v>0.2638888888888889</v>
      </c>
      <c r="M11" s="82"/>
    </row>
    <row r="12" spans="1:14" x14ac:dyDescent="0.25">
      <c r="A12" s="89">
        <v>45414</v>
      </c>
      <c r="B12" s="90">
        <v>1</v>
      </c>
      <c r="C12" s="91" t="s">
        <v>53</v>
      </c>
      <c r="D12" s="92">
        <v>5.5555555555555552E-2</v>
      </c>
      <c r="E12" s="93" t="s">
        <v>68</v>
      </c>
      <c r="H12" s="87"/>
      <c r="I12" s="82">
        <v>0.16666666666666666</v>
      </c>
      <c r="M12" s="82"/>
    </row>
    <row r="13" spans="1:14" x14ac:dyDescent="0.25">
      <c r="A13" s="89">
        <v>45414</v>
      </c>
      <c r="B13" s="90">
        <v>1</v>
      </c>
      <c r="C13" s="91" t="s">
        <v>55</v>
      </c>
      <c r="D13" s="92">
        <v>7.6388888888888895E-2</v>
      </c>
      <c r="E13" s="93" t="s">
        <v>69</v>
      </c>
      <c r="F13" s="85"/>
      <c r="H13" s="87"/>
      <c r="I13" s="82">
        <v>0.16666666666666666</v>
      </c>
      <c r="M13" s="82"/>
    </row>
    <row r="14" spans="1:14" x14ac:dyDescent="0.25">
      <c r="A14" s="89">
        <v>45414</v>
      </c>
      <c r="B14" s="90">
        <v>1</v>
      </c>
      <c r="C14" s="91" t="s">
        <v>55</v>
      </c>
      <c r="D14" s="92">
        <v>6.9444444444444434E-2</v>
      </c>
      <c r="E14" s="93" t="s">
        <v>71</v>
      </c>
      <c r="F14" s="85"/>
      <c r="H14" s="87"/>
      <c r="I14" s="82">
        <v>0.2638888888888889</v>
      </c>
      <c r="J14" s="84" t="s">
        <v>14</v>
      </c>
      <c r="K14" s="85">
        <f>SUM(I9:I14)</f>
        <v>1.1944444444444444</v>
      </c>
      <c r="M14" s="82"/>
      <c r="N14" s="85"/>
    </row>
    <row r="15" spans="1:14" ht="30" x14ac:dyDescent="0.25">
      <c r="A15" s="89">
        <v>45414</v>
      </c>
      <c r="B15" s="90">
        <v>1</v>
      </c>
      <c r="C15" s="91" t="s">
        <v>33</v>
      </c>
      <c r="D15" s="92">
        <v>5.2083333333333336E-2</v>
      </c>
      <c r="E15" s="93" t="s">
        <v>72</v>
      </c>
      <c r="F15" s="85"/>
      <c r="H15" s="86" t="s">
        <v>49</v>
      </c>
      <c r="I15" s="82">
        <v>0.19791666666666666</v>
      </c>
      <c r="M15" s="82"/>
    </row>
    <row r="16" spans="1:14" ht="30" x14ac:dyDescent="0.25">
      <c r="A16" s="89">
        <v>45414</v>
      </c>
      <c r="B16" s="90">
        <v>1</v>
      </c>
      <c r="C16" s="91" t="s">
        <v>11</v>
      </c>
      <c r="D16" s="92">
        <v>1.0416666666666666E-2</v>
      </c>
      <c r="E16" s="93" t="s">
        <v>70</v>
      </c>
      <c r="F16" s="85">
        <f>SUM(D12:D16)</f>
        <v>0.2638888888888889</v>
      </c>
      <c r="H16" s="86"/>
      <c r="I16" s="82">
        <v>0.16666666666666666</v>
      </c>
      <c r="M16" s="82"/>
    </row>
    <row r="17" spans="1:13" ht="135" x14ac:dyDescent="0.25">
      <c r="A17" s="94">
        <v>45415</v>
      </c>
      <c r="B17" s="95">
        <v>1</v>
      </c>
      <c r="C17" s="96" t="s">
        <v>56</v>
      </c>
      <c r="D17" s="97">
        <v>2.0833333333333332E-2</v>
      </c>
      <c r="E17" s="98" t="s">
        <v>73</v>
      </c>
      <c r="F17" s="85"/>
      <c r="H17" s="86"/>
      <c r="I17" s="82">
        <v>0.16666666666666666</v>
      </c>
      <c r="M17" s="82"/>
    </row>
    <row r="18" spans="1:13" ht="30" x14ac:dyDescent="0.25">
      <c r="A18" s="94">
        <v>45415</v>
      </c>
      <c r="B18" s="95">
        <v>1</v>
      </c>
      <c r="C18" s="96" t="s">
        <v>33</v>
      </c>
      <c r="D18" s="97">
        <v>7.9861111111111105E-2</v>
      </c>
      <c r="E18" s="98" t="s">
        <v>74</v>
      </c>
      <c r="F18" s="85"/>
      <c r="H18" s="86"/>
      <c r="I18" s="82">
        <v>0.2638888888888889</v>
      </c>
      <c r="J18" s="84" t="s">
        <v>14</v>
      </c>
      <c r="K18" s="85">
        <f>SUM(I15:I18)</f>
        <v>0.79513888888888884</v>
      </c>
      <c r="M18" s="82"/>
    </row>
    <row r="19" spans="1:13" x14ac:dyDescent="0.25">
      <c r="A19" s="94">
        <v>45415</v>
      </c>
      <c r="B19" s="95">
        <v>1</v>
      </c>
      <c r="C19" s="96" t="s">
        <v>54</v>
      </c>
      <c r="D19" s="97">
        <v>4.1666666666666664E-2</v>
      </c>
      <c r="E19" s="98" t="s">
        <v>75</v>
      </c>
      <c r="F19" s="85"/>
      <c r="H19" s="87" t="s">
        <v>50</v>
      </c>
      <c r="I19" s="82">
        <v>0.19791666666666666</v>
      </c>
      <c r="M19" s="82"/>
    </row>
    <row r="20" spans="1:13" ht="30" x14ac:dyDescent="0.25">
      <c r="A20" s="94">
        <v>45415</v>
      </c>
      <c r="B20" s="95">
        <v>1</v>
      </c>
      <c r="C20" s="96" t="s">
        <v>53</v>
      </c>
      <c r="D20" s="97">
        <v>3.472222222222222E-3</v>
      </c>
      <c r="E20" s="98" t="s">
        <v>76</v>
      </c>
      <c r="F20" s="85"/>
      <c r="H20" s="87"/>
      <c r="I20" s="82">
        <v>0.2638888888888889</v>
      </c>
      <c r="M20" s="82"/>
    </row>
    <row r="21" spans="1:13" x14ac:dyDescent="0.25">
      <c r="A21" s="94">
        <v>45415</v>
      </c>
      <c r="B21" s="95">
        <v>1</v>
      </c>
      <c r="C21" s="96" t="s">
        <v>54</v>
      </c>
      <c r="D21" s="97">
        <v>3.8194444444444441E-2</v>
      </c>
      <c r="E21" s="98" t="s">
        <v>77</v>
      </c>
      <c r="F21" s="85"/>
      <c r="H21" s="87"/>
      <c r="I21" s="82">
        <v>0.16666666666666666</v>
      </c>
      <c r="M21" s="82"/>
    </row>
    <row r="22" spans="1:13" ht="30" x14ac:dyDescent="0.25">
      <c r="A22" s="94">
        <v>45415</v>
      </c>
      <c r="B22" s="95">
        <v>1</v>
      </c>
      <c r="C22" s="96" t="s">
        <v>11</v>
      </c>
      <c r="D22" s="97">
        <v>1.3888888888888888E-2</v>
      </c>
      <c r="E22" s="105" t="s">
        <v>70</v>
      </c>
      <c r="F22" s="85">
        <f>SUM(D17:D22)</f>
        <v>0.19791666666666666</v>
      </c>
      <c r="H22" s="87"/>
      <c r="I22" s="82">
        <v>7.2916666666666671E-2</v>
      </c>
      <c r="J22" s="84" t="s">
        <v>14</v>
      </c>
      <c r="K22" s="85">
        <f>SUM(I19:I22)</f>
        <v>0.70138888888888884</v>
      </c>
    </row>
    <row r="23" spans="1:13" x14ac:dyDescent="0.25">
      <c r="A23" s="89">
        <v>45418</v>
      </c>
      <c r="B23" s="90">
        <v>1</v>
      </c>
      <c r="C23" s="91"/>
      <c r="D23" s="92"/>
      <c r="E23" s="93"/>
      <c r="F23" s="85">
        <f t="shared" ref="F23:F37" si="0">SUM(D23)</f>
        <v>0</v>
      </c>
      <c r="H23" s="84"/>
    </row>
    <row r="24" spans="1:13" x14ac:dyDescent="0.25">
      <c r="A24" s="94">
        <v>45419</v>
      </c>
      <c r="B24" s="95">
        <v>2</v>
      </c>
      <c r="C24" s="96"/>
      <c r="D24" s="97"/>
      <c r="E24" s="98"/>
      <c r="F24" s="85">
        <f t="shared" si="0"/>
        <v>0</v>
      </c>
      <c r="H24" s="84" t="s">
        <v>14</v>
      </c>
      <c r="I24" s="85">
        <f>SUM(I4:I22)</f>
        <v>3.7499999999999991</v>
      </c>
    </row>
    <row r="25" spans="1:13" x14ac:dyDescent="0.25">
      <c r="A25" s="89">
        <v>45420</v>
      </c>
      <c r="B25" s="90">
        <v>2</v>
      </c>
      <c r="C25" s="91"/>
      <c r="D25" s="92"/>
      <c r="E25" s="93"/>
      <c r="F25" s="85">
        <f t="shared" si="0"/>
        <v>0</v>
      </c>
      <c r="H25" s="84"/>
    </row>
    <row r="26" spans="1:13" x14ac:dyDescent="0.25">
      <c r="A26" s="94">
        <v>45425</v>
      </c>
      <c r="B26" s="95">
        <v>2</v>
      </c>
      <c r="C26" s="96"/>
      <c r="D26" s="97"/>
      <c r="E26" s="98"/>
      <c r="F26" s="85">
        <f t="shared" si="0"/>
        <v>0</v>
      </c>
      <c r="H26" t="s">
        <v>21</v>
      </c>
      <c r="I26" t="s">
        <v>22</v>
      </c>
      <c r="J26" t="s">
        <v>23</v>
      </c>
    </row>
    <row r="27" spans="1:13" x14ac:dyDescent="0.25">
      <c r="A27" s="89">
        <v>45426</v>
      </c>
      <c r="B27" s="90">
        <v>2</v>
      </c>
      <c r="C27" s="91"/>
      <c r="D27" s="92"/>
      <c r="E27" s="93"/>
      <c r="F27" s="85">
        <f t="shared" si="0"/>
        <v>0</v>
      </c>
      <c r="H27" t="s">
        <v>24</v>
      </c>
      <c r="I27" s="82">
        <v>0.2638888888888889</v>
      </c>
      <c r="J27">
        <v>8</v>
      </c>
    </row>
    <row r="28" spans="1:13" x14ac:dyDescent="0.25">
      <c r="A28" s="94">
        <v>45427</v>
      </c>
      <c r="B28" s="95">
        <v>2</v>
      </c>
      <c r="C28" s="96"/>
      <c r="D28" s="97"/>
      <c r="E28" s="98"/>
      <c r="F28" s="85">
        <f t="shared" si="0"/>
        <v>0</v>
      </c>
      <c r="H28" t="s">
        <v>25</v>
      </c>
      <c r="I28" s="82">
        <v>0.16666666666666666</v>
      </c>
      <c r="J28">
        <v>5</v>
      </c>
    </row>
    <row r="29" spans="1:13" x14ac:dyDescent="0.25">
      <c r="A29" s="89">
        <v>45428</v>
      </c>
      <c r="B29" s="90">
        <v>2</v>
      </c>
      <c r="C29" s="91"/>
      <c r="D29" s="92"/>
      <c r="E29" s="93"/>
      <c r="F29" s="85">
        <f t="shared" si="0"/>
        <v>0</v>
      </c>
      <c r="H29" t="s">
        <v>26</v>
      </c>
      <c r="I29" s="82">
        <v>0.16666666666666666</v>
      </c>
      <c r="J29">
        <v>5</v>
      </c>
    </row>
    <row r="30" spans="1:13" x14ac:dyDescent="0.25">
      <c r="A30" s="94">
        <v>45429</v>
      </c>
      <c r="B30" s="95">
        <v>3</v>
      </c>
      <c r="C30" s="96"/>
      <c r="D30" s="97"/>
      <c r="E30" s="98"/>
      <c r="F30" s="85">
        <f t="shared" si="0"/>
        <v>0</v>
      </c>
      <c r="H30" t="s">
        <v>27</v>
      </c>
      <c r="I30" s="82">
        <v>0.2638888888888889</v>
      </c>
      <c r="J30">
        <v>8</v>
      </c>
    </row>
    <row r="31" spans="1:13" x14ac:dyDescent="0.25">
      <c r="A31" s="89">
        <v>45433</v>
      </c>
      <c r="B31" s="90">
        <v>3</v>
      </c>
      <c r="C31" s="91"/>
      <c r="D31" s="92"/>
      <c r="E31" s="93"/>
      <c r="F31" s="85">
        <f t="shared" si="0"/>
        <v>0</v>
      </c>
      <c r="H31" t="s">
        <v>28</v>
      </c>
      <c r="I31" s="82">
        <v>0.19791666666666666</v>
      </c>
      <c r="J31">
        <v>6</v>
      </c>
    </row>
    <row r="32" spans="1:13" x14ac:dyDescent="0.25">
      <c r="A32" s="94">
        <v>45434</v>
      </c>
      <c r="B32" s="95">
        <v>3</v>
      </c>
      <c r="C32" s="96"/>
      <c r="D32" s="97"/>
      <c r="E32" s="98"/>
      <c r="F32" s="85">
        <f t="shared" si="0"/>
        <v>0</v>
      </c>
      <c r="H32" t="s">
        <v>14</v>
      </c>
      <c r="I32" s="85">
        <f>I27+I28+I29+I30+I31</f>
        <v>1.0590277777777779</v>
      </c>
      <c r="J32">
        <f>SUM(J27:J31)</f>
        <v>32</v>
      </c>
    </row>
    <row r="33" spans="1:7" x14ac:dyDescent="0.25">
      <c r="A33" s="89">
        <v>45435</v>
      </c>
      <c r="B33" s="90">
        <v>3</v>
      </c>
      <c r="C33" s="91"/>
      <c r="D33" s="92"/>
      <c r="E33" s="93"/>
      <c r="F33" s="85">
        <f t="shared" si="0"/>
        <v>0</v>
      </c>
    </row>
    <row r="34" spans="1:7" x14ac:dyDescent="0.25">
      <c r="A34" s="94">
        <v>45436</v>
      </c>
      <c r="B34" s="95">
        <v>4</v>
      </c>
      <c r="C34" s="96"/>
      <c r="D34" s="97"/>
      <c r="E34" s="98"/>
      <c r="F34" s="85">
        <f t="shared" si="0"/>
        <v>0</v>
      </c>
      <c r="G34" s="84"/>
    </row>
    <row r="35" spans="1:7" x14ac:dyDescent="0.25">
      <c r="A35" s="89">
        <v>45439</v>
      </c>
      <c r="B35" s="90">
        <v>4</v>
      </c>
      <c r="C35" s="91"/>
      <c r="D35" s="92"/>
      <c r="E35" s="93"/>
      <c r="F35" s="85">
        <f t="shared" si="0"/>
        <v>0</v>
      </c>
      <c r="G35" s="84"/>
    </row>
    <row r="36" spans="1:7" x14ac:dyDescent="0.25">
      <c r="A36" s="94">
        <v>45440</v>
      </c>
      <c r="B36" s="95">
        <v>4</v>
      </c>
      <c r="C36" s="96"/>
      <c r="D36" s="97"/>
      <c r="E36" s="98"/>
      <c r="F36" s="85">
        <f t="shared" si="0"/>
        <v>0</v>
      </c>
      <c r="G36" s="84"/>
    </row>
    <row r="37" spans="1:7" x14ac:dyDescent="0.25">
      <c r="A37" s="89">
        <v>45441</v>
      </c>
      <c r="B37" s="90">
        <v>4</v>
      </c>
      <c r="C37" s="91"/>
      <c r="D37" s="92"/>
      <c r="E37" s="93"/>
      <c r="F37" s="85">
        <f t="shared" si="0"/>
        <v>0</v>
      </c>
      <c r="G37" s="84"/>
    </row>
    <row r="38" spans="1:7" x14ac:dyDescent="0.25">
      <c r="G38" s="84"/>
    </row>
    <row r="39" spans="1:7" x14ac:dyDescent="0.25">
      <c r="G39" s="84"/>
    </row>
    <row r="40" spans="1:7" x14ac:dyDescent="0.25">
      <c r="G40" s="84"/>
    </row>
    <row r="41" spans="1:7" x14ac:dyDescent="0.25">
      <c r="G41" s="84"/>
    </row>
    <row r="42" spans="1:7" x14ac:dyDescent="0.25">
      <c r="G42" s="84"/>
    </row>
    <row r="43" spans="1:7" x14ac:dyDescent="0.25">
      <c r="G43" s="84"/>
    </row>
    <row r="44" spans="1:7" x14ac:dyDescent="0.25">
      <c r="G44" s="84"/>
    </row>
    <row r="45" spans="1:7" x14ac:dyDescent="0.25">
      <c r="G45" s="84"/>
    </row>
    <row r="46" spans="1:7" x14ac:dyDescent="0.25">
      <c r="G46" s="84"/>
    </row>
    <row r="47" spans="1:7" x14ac:dyDescent="0.25">
      <c r="G47" s="84"/>
    </row>
    <row r="48" spans="1:7" x14ac:dyDescent="0.25">
      <c r="G48" s="84"/>
    </row>
    <row r="49" spans="7:7" x14ac:dyDescent="0.25">
      <c r="G49" s="84"/>
    </row>
    <row r="50" spans="7:7" x14ac:dyDescent="0.25">
      <c r="G50" s="84"/>
    </row>
    <row r="51" spans="7:7" x14ac:dyDescent="0.25">
      <c r="G51" s="84"/>
    </row>
    <row r="52" spans="7:7" x14ac:dyDescent="0.25">
      <c r="G52" s="84"/>
    </row>
    <row r="53" spans="7:7" x14ac:dyDescent="0.25">
      <c r="G53" s="84"/>
    </row>
    <row r="54" spans="7:7" x14ac:dyDescent="0.25">
      <c r="G54" s="84"/>
    </row>
    <row r="55" spans="7:7" x14ac:dyDescent="0.25">
      <c r="G55" s="84"/>
    </row>
    <row r="56" spans="7:7" x14ac:dyDescent="0.25">
      <c r="G56" s="84"/>
    </row>
    <row r="57" spans="7:7" x14ac:dyDescent="0.25">
      <c r="G57" s="84"/>
    </row>
    <row r="58" spans="7:7" x14ac:dyDescent="0.25">
      <c r="G58" s="84"/>
    </row>
    <row r="59" spans="7:7" x14ac:dyDescent="0.25">
      <c r="G59" s="84"/>
    </row>
    <row r="60" spans="7:7" x14ac:dyDescent="0.25">
      <c r="G60" s="84"/>
    </row>
    <row r="61" spans="7:7" x14ac:dyDescent="0.25">
      <c r="G61" s="84"/>
    </row>
    <row r="62" spans="7:7" x14ac:dyDescent="0.25">
      <c r="G62" s="84"/>
    </row>
    <row r="63" spans="7:7" x14ac:dyDescent="0.25">
      <c r="G63" s="84"/>
    </row>
    <row r="64" spans="7:7" x14ac:dyDescent="0.25">
      <c r="G64" s="84"/>
    </row>
    <row r="65" spans="7:7" x14ac:dyDescent="0.25">
      <c r="G65" s="84"/>
    </row>
    <row r="66" spans="7:7" x14ac:dyDescent="0.25">
      <c r="G66" s="84"/>
    </row>
    <row r="67" spans="7:7" x14ac:dyDescent="0.25">
      <c r="G67" s="84"/>
    </row>
    <row r="68" spans="7:7" x14ac:dyDescent="0.25">
      <c r="G68" s="84"/>
    </row>
  </sheetData>
  <sheetProtection selectLockedCells="1"/>
  <phoneticPr fontId="14" type="noConversion"/>
  <pageMargins left="0.70866141732283472" right="0.70866141732283472" top="0.74803149606299213" bottom="0.74803149606299213" header="0.31496062992125984" footer="0.31496062992125984"/>
  <pageSetup paperSize="9" scale="74"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2024-05-01T14:55:10Z</cp:lastPrinted>
  <dcterms:created xsi:type="dcterms:W3CDTF">2015-01-22T08:10:30Z</dcterms:created>
  <dcterms:modified xsi:type="dcterms:W3CDTF">2024-05-03T13:50:01Z</dcterms:modified>
  <cp:category/>
  <cp:contentStatus/>
</cp:coreProperties>
</file>