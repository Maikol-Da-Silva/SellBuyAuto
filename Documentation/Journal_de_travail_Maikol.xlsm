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https://d.docs.live.net/e96d4922559f0567/école/CPNV/2 année/TPI/SellBuyAuto/Documentation/"/>
    </mc:Choice>
  </mc:AlternateContent>
  <xr:revisionPtr revIDLastSave="838" documentId="8_{18B172D2-50FD-4B63-848D-F37510054989}" xr6:coauthVersionLast="47" xr6:coauthVersionMax="47" xr10:uidLastSave="{6EC898AB-42FB-45BB-9EB3-B83614A4F53B}"/>
  <bookViews>
    <workbookView xWindow="-120" yWindow="-120" windowWidth="29040" windowHeight="15840" activeTab="1" xr2:uid="{5B2D40B5-3B23-483C-9451-95558EF7EAEA}"/>
  </bookViews>
  <sheets>
    <sheet name="Base" sheetId="7" r:id="rId1"/>
    <sheet name="Planning" sheetId="1" r:id="rId2"/>
    <sheet name="Journal" sheetId="6" r:id="rId3"/>
  </sheets>
  <definedNames>
    <definedName name="_xlnm.Print_Area" localSheetId="2">Journal!$A$1:$E$79</definedName>
    <definedName name="_xlnm.Print_Area" localSheetId="1">Planning!$A$1:$M$86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4" i="6" l="1"/>
  <c r="F71" i="6"/>
  <c r="F66" i="6"/>
  <c r="F61" i="6"/>
  <c r="F54" i="6"/>
  <c r="F50" i="6"/>
  <c r="F75" i="6"/>
  <c r="F76" i="6"/>
  <c r="F77" i="6"/>
  <c r="F78" i="6"/>
  <c r="F79" i="6"/>
  <c r="F44" i="6"/>
  <c r="F39" i="6"/>
  <c r="F35" i="6"/>
  <c r="F30" i="6"/>
  <c r="F22" i="6"/>
  <c r="F16" i="6"/>
  <c r="D9" i="1"/>
  <c r="F11" i="6"/>
  <c r="F6" i="6"/>
  <c r="J32" i="6"/>
  <c r="I32" i="6"/>
  <c r="I24" i="6"/>
  <c r="K22" i="6"/>
  <c r="K18" i="6"/>
  <c r="K14" i="6"/>
  <c r="K8" i="6"/>
  <c r="E1" i="6"/>
  <c r="C1" i="6"/>
  <c r="C63" i="1"/>
  <c r="L62" i="1"/>
  <c r="C62" i="1"/>
  <c r="B62" i="1"/>
  <c r="L60" i="1"/>
  <c r="C60" i="1"/>
  <c r="B60" i="1"/>
  <c r="A58" i="1"/>
  <c r="C57" i="1"/>
  <c r="L56" i="1"/>
  <c r="C56" i="1"/>
  <c r="B56" i="1"/>
  <c r="L54" i="1"/>
  <c r="C54" i="1"/>
  <c r="B54" i="1"/>
  <c r="L52" i="1"/>
  <c r="C52" i="1"/>
  <c r="B52" i="1"/>
  <c r="A50" i="1"/>
  <c r="L48" i="1"/>
  <c r="C48" i="1"/>
  <c r="B48" i="1"/>
  <c r="C47" i="1"/>
  <c r="L46" i="1"/>
  <c r="C46" i="1"/>
  <c r="B46" i="1"/>
  <c r="L44" i="1"/>
  <c r="C44" i="1"/>
  <c r="B44" i="1"/>
  <c r="C43" i="1"/>
  <c r="L42" i="1"/>
  <c r="C42" i="1"/>
  <c r="B42" i="1"/>
  <c r="L40" i="1"/>
  <c r="C40" i="1"/>
  <c r="B40" i="1"/>
  <c r="L38" i="1"/>
  <c r="C38" i="1"/>
  <c r="B38" i="1"/>
  <c r="C37" i="1"/>
  <c r="L36" i="1"/>
  <c r="C36" i="1"/>
  <c r="B36" i="1"/>
  <c r="L34" i="1"/>
  <c r="C34" i="1"/>
  <c r="B34" i="1"/>
  <c r="C33" i="1"/>
  <c r="L32" i="1"/>
  <c r="C32" i="1"/>
  <c r="B32" i="1"/>
  <c r="L30" i="1"/>
  <c r="C30" i="1"/>
  <c r="B30" i="1"/>
  <c r="C29" i="1"/>
  <c r="L28" i="1"/>
  <c r="C28" i="1"/>
  <c r="B28" i="1"/>
  <c r="L26" i="1"/>
  <c r="C26" i="1"/>
  <c r="B26" i="1"/>
  <c r="A24" i="1"/>
  <c r="C23" i="1"/>
  <c r="L22" i="1"/>
  <c r="C22" i="1"/>
  <c r="B22" i="1"/>
  <c r="L20" i="1"/>
  <c r="C20" i="1"/>
  <c r="B20" i="1"/>
  <c r="C19" i="1"/>
  <c r="L18" i="1"/>
  <c r="C18" i="1"/>
  <c r="B18" i="1"/>
  <c r="L16" i="1"/>
  <c r="C16" i="1"/>
  <c r="B16" i="1"/>
  <c r="L14" i="1"/>
  <c r="C14" i="1"/>
  <c r="B14" i="1"/>
  <c r="C13" i="1"/>
  <c r="L12" i="1"/>
  <c r="C12" i="1"/>
  <c r="B12" i="1"/>
  <c r="L10" i="1"/>
  <c r="C10" i="1"/>
  <c r="B10" i="1"/>
  <c r="C9" i="1"/>
  <c r="L8" i="1"/>
  <c r="C8" i="1"/>
  <c r="B8" i="1"/>
  <c r="A6" i="1"/>
  <c r="A4" i="1"/>
  <c r="C61" i="1" s="1"/>
  <c r="D2" i="1"/>
  <c r="B1" i="1"/>
  <c r="E53" i="1" l="1"/>
  <c r="D41" i="1"/>
  <c r="D37" i="1"/>
  <c r="C17" i="1"/>
  <c r="C53" i="1"/>
  <c r="C41" i="1"/>
  <c r="D13" i="1"/>
  <c r="D61" i="1"/>
  <c r="D55" i="1"/>
  <c r="D45" i="1"/>
  <c r="D21" i="1"/>
  <c r="D27" i="1"/>
  <c r="D49" i="1"/>
  <c r="D31" i="1"/>
  <c r="D35" i="1"/>
  <c r="D11" i="1"/>
  <c r="D39" i="1"/>
  <c r="D15" i="1"/>
  <c r="D43" i="1"/>
  <c r="D19" i="1"/>
  <c r="D53" i="1"/>
  <c r="D33" i="1"/>
  <c r="D47" i="1"/>
  <c r="D17" i="1"/>
  <c r="D23" i="1"/>
  <c r="F2" i="1"/>
  <c r="L58" i="1"/>
  <c r="D63" i="1"/>
  <c r="D29" i="1"/>
  <c r="D57" i="1"/>
  <c r="C15" i="1"/>
  <c r="C39" i="1"/>
  <c r="C11" i="1"/>
  <c r="C35" i="1"/>
  <c r="C31" i="1"/>
  <c r="C49" i="1"/>
  <c r="C27" i="1"/>
  <c r="C21" i="1"/>
  <c r="C45" i="1"/>
  <c r="C55" i="1"/>
  <c r="L50" i="1" s="1"/>
  <c r="L24" i="1" l="1"/>
  <c r="J3" i="1"/>
  <c r="H2" i="1"/>
  <c r="D4" i="1"/>
  <c r="F3" i="1"/>
  <c r="H3" i="1"/>
  <c r="L6" i="1"/>
  <c r="D3" i="1"/>
  <c r="B3" i="1" l="1"/>
  <c r="J2" i="1"/>
  <c r="F27" i="1"/>
  <c r="F49" i="1"/>
  <c r="F31" i="1"/>
  <c r="F35" i="1"/>
  <c r="F11" i="1"/>
  <c r="F39" i="1"/>
  <c r="F15" i="1"/>
  <c r="F53" i="1"/>
  <c r="F43" i="1"/>
  <c r="F19" i="1"/>
  <c r="F63" i="1"/>
  <c r="F57" i="1"/>
  <c r="F21" i="1"/>
  <c r="F47" i="1"/>
  <c r="F41" i="1"/>
  <c r="F13" i="1"/>
  <c r="F45" i="1"/>
  <c r="F37" i="1"/>
  <c r="F17" i="1"/>
  <c r="F61" i="1"/>
  <c r="F23" i="1"/>
  <c r="F29" i="1"/>
  <c r="F55" i="1"/>
  <c r="F33" i="1"/>
  <c r="F9" i="1"/>
  <c r="F4" i="1" l="1"/>
  <c r="H49" i="1"/>
  <c r="H31" i="1"/>
  <c r="H35" i="1"/>
  <c r="H11" i="1"/>
  <c r="H39" i="1"/>
  <c r="H15" i="1"/>
  <c r="H53" i="1"/>
  <c r="H43" i="1"/>
  <c r="H19" i="1"/>
  <c r="H63" i="1"/>
  <c r="H57" i="1"/>
  <c r="H47" i="1"/>
  <c r="H23" i="1"/>
  <c r="H21" i="1"/>
  <c r="H17" i="1"/>
  <c r="H41" i="1"/>
  <c r="H13" i="1"/>
  <c r="H45" i="1"/>
  <c r="H61" i="1"/>
  <c r="H29" i="1"/>
  <c r="H55" i="1"/>
  <c r="H33" i="1"/>
  <c r="H27" i="1"/>
  <c r="H37" i="1"/>
  <c r="H9" i="1"/>
  <c r="J31" i="1"/>
  <c r="J35" i="1"/>
  <c r="J11" i="1"/>
  <c r="J39" i="1"/>
  <c r="J15" i="1"/>
  <c r="J53" i="1"/>
  <c r="J43" i="1"/>
  <c r="J19" i="1"/>
  <c r="J63" i="1"/>
  <c r="J57" i="1"/>
  <c r="J47" i="1"/>
  <c r="J23" i="1"/>
  <c r="J29" i="1"/>
  <c r="J49" i="1"/>
  <c r="J17" i="1"/>
  <c r="J45" i="1"/>
  <c r="J61" i="1"/>
  <c r="J41" i="1"/>
  <c r="J13" i="1"/>
  <c r="J37" i="1"/>
  <c r="J9" i="1"/>
  <c r="J55" i="1"/>
  <c r="J33" i="1"/>
  <c r="J27" i="1"/>
  <c r="J21" i="1"/>
  <c r="L43" i="1" l="1"/>
  <c r="L45" i="1"/>
  <c r="L13" i="1"/>
  <c r="L41" i="1"/>
  <c r="L37" i="1"/>
  <c r="L27" i="1"/>
  <c r="L11" i="1"/>
  <c r="L47" i="1"/>
  <c r="L57" i="1"/>
  <c r="L19" i="1"/>
  <c r="L9" i="1"/>
  <c r="L17" i="1"/>
  <c r="L23" i="1"/>
  <c r="L63" i="1"/>
  <c r="L39" i="1"/>
  <c r="L53" i="1"/>
  <c r="L31" i="1"/>
  <c r="L55" i="1"/>
  <c r="L49" i="1"/>
  <c r="L21" i="1"/>
  <c r="L35" i="1"/>
  <c r="L29" i="1"/>
  <c r="L15" i="1"/>
  <c r="L33" i="1"/>
  <c r="L61" i="1"/>
  <c r="J4" i="1"/>
  <c r="H4" i="1"/>
  <c r="L51" i="1" l="1"/>
  <c r="L59" i="1"/>
  <c r="L7" i="1"/>
  <c r="L25" i="1"/>
  <c r="B4" i="1"/>
</calcChain>
</file>

<file path=xl/sharedStrings.xml><?xml version="1.0" encoding="utf-8"?>
<sst xmlns="http://schemas.openxmlformats.org/spreadsheetml/2006/main" count="211" uniqueCount="121">
  <si>
    <t>Participants</t>
  </si>
  <si>
    <t>Projet</t>
  </si>
  <si>
    <t>Date début</t>
  </si>
  <si>
    <t>Nom</t>
  </si>
  <si>
    <t>Prénom</t>
  </si>
  <si>
    <t>Activités</t>
  </si>
  <si>
    <t>Tâches</t>
  </si>
  <si>
    <t>1 Analyse</t>
  </si>
  <si>
    <t xml:space="preserve">2 Implémentation </t>
  </si>
  <si>
    <t>3 Tests</t>
  </si>
  <si>
    <t>4 Documentation</t>
  </si>
  <si>
    <t>Planification</t>
  </si>
  <si>
    <t>Total</t>
  </si>
  <si>
    <t>Prévu</t>
  </si>
  <si>
    <t>Journal</t>
  </si>
  <si>
    <t>Date</t>
  </si>
  <si>
    <t>Activité</t>
  </si>
  <si>
    <t>Heures</t>
  </si>
  <si>
    <t>Remarques</t>
  </si>
  <si>
    <t>Par semaine</t>
  </si>
  <si>
    <t>Nb heures</t>
  </si>
  <si>
    <t>Nb périodes</t>
  </si>
  <si>
    <t>Lundi</t>
  </si>
  <si>
    <t>Mardi</t>
  </si>
  <si>
    <t>Mercredi</t>
  </si>
  <si>
    <t>Jeudi</t>
  </si>
  <si>
    <t>Vendredi</t>
  </si>
  <si>
    <t>Maikol</t>
  </si>
  <si>
    <t>Da Silva</t>
  </si>
  <si>
    <t>1.1 - Lecture du cahier des charges</t>
  </si>
  <si>
    <t>2.1 - Mise en place de l'environnement</t>
  </si>
  <si>
    <t>2.2 - Base de données</t>
  </si>
  <si>
    <t>2.3 - Login/Register</t>
  </si>
  <si>
    <t>2.4 - Visualisation des véhicules en ventes</t>
  </si>
  <si>
    <t>2.5 - Rechercher des véhicules selon filtres</t>
  </si>
  <si>
    <t>2.6 - Mettre en vente un véhicule</t>
  </si>
  <si>
    <t>2.7 - Modifier/Supprimer ses annonces</t>
  </si>
  <si>
    <t>2.8 - Acheter un véhicule</t>
  </si>
  <si>
    <t>2.9 - Mettre en favoris</t>
  </si>
  <si>
    <t>2.10 - Historique des ventes/achats</t>
  </si>
  <si>
    <t>2.11 - Bloquer une annonce (Admin)</t>
  </si>
  <si>
    <t>2.12 - Bloquer un utilisateur (Admin)</t>
  </si>
  <si>
    <t>3.1 - Tests unitaires</t>
  </si>
  <si>
    <t>3.2 - Tests d'intégrations</t>
  </si>
  <si>
    <t>3.3 - Test d'acceptation</t>
  </si>
  <si>
    <t>Sprint 1</t>
  </si>
  <si>
    <t>Sprint 2</t>
  </si>
  <si>
    <t>Sprint 3</t>
  </si>
  <si>
    <t>Sprint 4</t>
  </si>
  <si>
    <t>1.2 - Recherches</t>
  </si>
  <si>
    <t>1.3 - Planification</t>
  </si>
  <si>
    <t>1.4 - Maquettes</t>
  </si>
  <si>
    <t>1.5 - Diagrammes</t>
  </si>
  <si>
    <t>1.6 - MCD/MLD</t>
  </si>
  <si>
    <t>1.7 - Daily meeting</t>
  </si>
  <si>
    <t>1.8 - Sprint review</t>
  </si>
  <si>
    <t>Création de l'IceScrum avec les sprints et les stories</t>
  </si>
  <si>
    <t>Création de la planification initiale</t>
  </si>
  <si>
    <t>Finalisation de la planification initiale</t>
  </si>
  <si>
    <t>Mise en place de la documentation</t>
  </si>
  <si>
    <t>Mise en place du journal de travail</t>
  </si>
  <si>
    <t>Application C# de type plateforme de vente de voiture</t>
  </si>
  <si>
    <t>Sprint</t>
  </si>
  <si>
    <t>Création du dépôt sur GitHub et du projet Visual Studio</t>
  </si>
  <si>
    <t>Début de la réalisation des maquettes</t>
  </si>
  <si>
    <t>Terminer la réalisation des maquettes</t>
  </si>
  <si>
    <t>Création du MCD</t>
  </si>
  <si>
    <t>Remplir le journal de travail + envoie de l'email semi-hebdomadaire</t>
  </si>
  <si>
    <t>Création du MLD</t>
  </si>
  <si>
    <t>Création de la base de données sur swisscenter et début de la génération des données</t>
  </si>
  <si>
    <t>Revue du dépôt GitHub, le fait de séparer les PDF c'est très bien. Revue des maquettes -&gt; ok
Revue de la planification initiale, bonne idée d'avoir séparé chaque fonctionnalité.
Revue de la documentation, le fait de reprendre les objectifs du CDC, c'est bien.
Revue de l'IceScrum, les tâches sont bien respectées et mis à jour.
Revue des données dans le fichier insert sql</t>
  </si>
  <si>
    <t>Recherche d'images pour chaque annonce de la base de données</t>
  </si>
  <si>
    <t>Création du diagramme de flux</t>
  </si>
  <si>
    <t>Correction des maquettes, il manquait la maquette pour la page des favoris</t>
  </si>
  <si>
    <t>Début de la création du diagramme de classe</t>
  </si>
  <si>
    <t>Finaliser le diagramme de classe</t>
  </si>
  <si>
    <t>Correction du MCD et du MLD, ajout de l'entité modèles</t>
  </si>
  <si>
    <t>Correction de la base de données suite au modification dans le MCD/MLD</t>
  </si>
  <si>
    <t>J'ai ajouté les diagrammes ainsi que le MCD et le MLD. J'ai également crée les use cases et scénarios</t>
  </si>
  <si>
    <t>Revue de toutes les stories du premier sprint. On a refait tous les tests ensemble. Le premier sprint est validé.</t>
  </si>
  <si>
    <t>Ajout des maquettes dans la documentation</t>
  </si>
  <si>
    <t>Ajout des stories du sprint 2 sur IceScrum</t>
  </si>
  <si>
    <t>Remplir le journal de travail</t>
  </si>
  <si>
    <t>Compléter la partie réalisation avec le sprint 1</t>
  </si>
  <si>
    <t>Création de la page d'accueil</t>
  </si>
  <si>
    <t>4.1 - Journal de travail</t>
  </si>
  <si>
    <t>4.2 - Rédaction de la documentation</t>
  </si>
  <si>
    <t>Création des pages de login et de register + coder les 2 fonctionnalités</t>
  </si>
  <si>
    <t>Création des requêtes SQL</t>
  </si>
  <si>
    <t>Création de la page de visualisation des véhicules rechercher</t>
  </si>
  <si>
    <t>Création du UserControl qui permet d'afficher les annonces + création de la requête FTP + Ajout de commentaires</t>
  </si>
  <si>
    <t>Création du UserControl contenant le formulaire pour ajouter/modifier une annonce</t>
  </si>
  <si>
    <t>Discussion sur le travail qui a déjà été réalisé</t>
  </si>
  <si>
    <t>Création des requêtes SQL et FTP</t>
  </si>
  <si>
    <t>Terminer les requêtes qui permettent d'ajouter les véhicules</t>
  </si>
  <si>
    <t xml:space="preserve">Création de la page mes ventes </t>
  </si>
  <si>
    <t>Coder la possibilité de modifier une annonce</t>
  </si>
  <si>
    <t>Tests de chacune des fonctionnalités, créer jusqu'à maintenant</t>
  </si>
  <si>
    <t>Tester que les fonctionnalités ne rentrent pas en conflits les unes avec les autres</t>
  </si>
  <si>
    <t>Rédaction de la partie réalisation du sprint 2</t>
  </si>
  <si>
    <t>Recherche sur comment créer un fichier exe afin de transmettre l'application</t>
  </si>
  <si>
    <t xml:space="preserve">Entretien avec l'expert 2, revue du projet dans sa globalité, dans l'ensemble tout se passe bien. Pour la documentation, la partie réalisation, il faut demander à M. Benzonana si cela lui convient. Nous avons également discuter sur le fait que les mots de passe sont écrit en dur dans le code. Pour l'envoi de l'exécutable, il faudrait un lien pour télécharger le dossier zip. M. Melly m'a également montré comment créer un fichier exécutable afin de transmettre l'application plus facilement avec un seul fichier. </t>
  </si>
  <si>
    <t>Test de l'application afin de trouver d'autres bugs ou des choses à améliorer.</t>
  </si>
  <si>
    <t>Correction d'un bug qui faisait que les images continuaient  de charger en arrière-plan même quand on changeait de page.</t>
  </si>
  <si>
    <t>Revue de toutes les stories du deuxième sprint. On a refait tous les tests ensemble. Le deuxième sprint est validé. J'ai demandé au chef de projet si la partie de la réalisation divisée par sprint lui convenait et il m'a répondu que oui, étant donné que je travaille avec la méthode agile, il trouve cette façon de faire cohérente.</t>
  </si>
  <si>
    <t>Ajout des stories du sprint 3 sur IceScrum</t>
  </si>
  <si>
    <t>Ajout des stories du sprint 3 et ajout de titres pour la partie réalisation.</t>
  </si>
  <si>
    <t>Création du UserControl qui affiche le détail des annonces + coder la fonctionnalité</t>
  </si>
  <si>
    <t>Coder la donctionnalité de vente pour le vendeur, pour qu'il puisse choisir l'acheteur</t>
  </si>
  <si>
    <t>Différent tests pour voir si la nouvelle fonctionnalité fonctionne correctement</t>
  </si>
  <si>
    <t>Recherche sur comment copier dans le presse-papiers et comment lancer un event click depuis le code</t>
  </si>
  <si>
    <t>Coder la possibilité de mettre en favoris depuis la page d'affichage des recherches</t>
  </si>
  <si>
    <t>Création de la page mes favoris + supprimer favoris</t>
  </si>
  <si>
    <t>Tests de l'application en général</t>
  </si>
  <si>
    <r>
      <t xml:space="preserve">Création du Form pour la recherche avancé mais j'ai eu une nouvelle idée. Au lieu de créer plein de formulaire et d'avoir un changement de fenêtre constant, je vais utiliser des UserControl afin d'afficher le contenu souhaité, ainsi la transition entre les pages se fera de manière plus fluide
</t>
    </r>
    <r>
      <rPr>
        <sz val="11"/>
        <color rgb="FFFF0000"/>
        <rFont val="Calibri"/>
        <family val="2"/>
        <scheme val="minor"/>
      </rPr>
      <t>Avis Personnel : Je suis un peu inquiet parce que je ne sais pas si la nouvelle idée va fonctionner ou non</t>
    </r>
  </si>
  <si>
    <r>
      <t xml:space="preserve">Mise en place de la nouvelle idée avec les UserControls
</t>
    </r>
    <r>
      <rPr>
        <sz val="11"/>
        <color rgb="FFFF0000"/>
        <rFont val="Calibri"/>
        <family val="2"/>
        <scheme val="minor"/>
      </rPr>
      <t>Avis Personnel : Je suis plutôt content et satisfait que mon idée fonctionne correctement</t>
    </r>
  </si>
  <si>
    <r>
      <t xml:space="preserve">Lecture du cahier des charges et entretien avec le premier expert. 
</t>
    </r>
    <r>
      <rPr>
        <sz val="11"/>
        <color rgb="FFFF0000"/>
        <rFont val="Calibri"/>
        <family val="2"/>
        <scheme val="minor"/>
      </rPr>
      <t>Avis personnel : Je me sens plutôt confiant concernant le travail à réaliser</t>
    </r>
  </si>
  <si>
    <r>
      <t xml:space="preserve">Coder la possibilité de supprimer une annonce
</t>
    </r>
    <r>
      <rPr>
        <sz val="11"/>
        <color rgb="FFFF0000"/>
        <rFont val="Calibri"/>
        <family val="2"/>
        <scheme val="minor"/>
      </rPr>
      <t>Avis personnel : Je suis soulager parce que j'ai réussi à finir les fonctionnalités du sprint 2 en avance</t>
    </r>
  </si>
  <si>
    <r>
      <t xml:space="preserve">Création de la page mes achats avec les requêtes nécessaires
</t>
    </r>
    <r>
      <rPr>
        <sz val="11"/>
        <color rgb="FFFF0000"/>
        <rFont val="Calibri"/>
        <family val="2"/>
        <scheme val="minor"/>
      </rPr>
      <t>Avis personnel : Je suis soulager parce que j'ai réussi à finir les fonctionnalités du sprint 3 en avance</t>
    </r>
  </si>
  <si>
    <t>Ajout des stories du sprint 4 sur IceScrum</t>
  </si>
  <si>
    <t>Ajouter la partie réalisation du sprint 3 + Ajout du tableau avec les tests effectués + ajout des stories du sprint 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</si>
</sst>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quot; h &quot;mm"/>
    <numFmt numFmtId="165" formatCode="[h]:mm"/>
    <numFmt numFmtId="166" formatCode="dd/mm/yy;@"/>
    <numFmt numFmtId="167" formatCode="[h]:mm;@"/>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sz val="8"/>
      <name val="Calibri"/>
      <family val="2"/>
      <scheme val="minor"/>
    </font>
    <font>
      <sz val="11"/>
      <color rgb="FF000000"/>
      <name val="Calibri"/>
      <family val="2"/>
    </font>
    <font>
      <sz val="11"/>
      <color rgb="FFFF0000"/>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0" tint="-0.249977111117893"/>
        <bgColor indexed="64"/>
      </patternFill>
    </fill>
  </fills>
  <borders count="29">
    <border>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top style="thin">
        <color indexed="64"/>
      </top>
      <bottom/>
      <diagonal/>
    </border>
  </borders>
  <cellStyleXfs count="1">
    <xf numFmtId="0" fontId="0" fillId="0" borderId="0"/>
  </cellStyleXfs>
  <cellXfs count="106">
    <xf numFmtId="0" fontId="0" fillId="0" borderId="0" xfId="0"/>
    <xf numFmtId="164" fontId="5" fillId="0" borderId="5" xfId="0" applyNumberFormat="1" applyFont="1" applyBorder="1" applyAlignment="1">
      <alignment horizontal="center" vertical="center"/>
    </xf>
    <xf numFmtId="164" fontId="6" fillId="0" borderId="0" xfId="0" applyNumberFormat="1" applyFont="1" applyAlignment="1">
      <alignment horizontal="center" vertical="center"/>
    </xf>
    <xf numFmtId="164" fontId="5" fillId="0" borderId="0" xfId="0" applyNumberFormat="1" applyFont="1" applyAlignment="1">
      <alignment horizontal="center" vertical="center"/>
    </xf>
    <xf numFmtId="164" fontId="5" fillId="0" borderId="6" xfId="0" applyNumberFormat="1" applyFont="1" applyBorder="1" applyAlignment="1">
      <alignment horizontal="center" vertical="center"/>
    </xf>
    <xf numFmtId="0" fontId="5" fillId="0" borderId="10" xfId="0" quotePrefix="1" applyFont="1" applyBorder="1" applyAlignment="1">
      <alignment horizontal="center" vertical="center"/>
    </xf>
    <xf numFmtId="0" fontId="6" fillId="0" borderId="0" xfId="0" applyFont="1" applyAlignment="1">
      <alignment horizontal="center" vertical="center"/>
    </xf>
    <xf numFmtId="164" fontId="4" fillId="5" borderId="9" xfId="0" applyNumberFormat="1" applyFont="1" applyFill="1" applyBorder="1" applyAlignment="1">
      <alignment horizontal="left" vertical="center"/>
    </xf>
    <xf numFmtId="164" fontId="4" fillId="4" borderId="9" xfId="0" applyNumberFormat="1" applyFont="1" applyFill="1" applyBorder="1" applyAlignment="1">
      <alignment vertical="center"/>
    </xf>
    <xf numFmtId="164" fontId="4" fillId="7" borderId="9" xfId="0" applyNumberFormat="1" applyFont="1" applyFill="1" applyBorder="1" applyAlignment="1">
      <alignment horizontal="left" vertical="center"/>
    </xf>
    <xf numFmtId="164" fontId="4" fillId="8" borderId="9" xfId="0" applyNumberFormat="1" applyFont="1" applyFill="1" applyBorder="1" applyAlignment="1">
      <alignment vertical="center"/>
    </xf>
    <xf numFmtId="0" fontId="0" fillId="3" borderId="1" xfId="0" applyFill="1" applyBorder="1"/>
    <xf numFmtId="0" fontId="0" fillId="3" borderId="19" xfId="0" applyFill="1" applyBorder="1"/>
    <xf numFmtId="0" fontId="0" fillId="3" borderId="0" xfId="0" applyFill="1"/>
    <xf numFmtId="0" fontId="1" fillId="3" borderId="0" xfId="0" applyFont="1" applyFill="1"/>
    <xf numFmtId="0" fontId="6" fillId="0" borderId="10" xfId="0" quotePrefix="1" applyFont="1" applyBorder="1" applyAlignment="1">
      <alignment horizontal="center" vertical="center"/>
    </xf>
    <xf numFmtId="0" fontId="11" fillId="2" borderId="7" xfId="0" applyFont="1" applyFill="1" applyBorder="1" applyProtection="1">
      <protection locked="0"/>
    </xf>
    <xf numFmtId="0" fontId="11" fillId="2" borderId="1" xfId="0" applyFont="1" applyFill="1" applyBorder="1" applyProtection="1">
      <protection locked="0"/>
    </xf>
    <xf numFmtId="0" fontId="11" fillId="2" borderId="19" xfId="0" applyFont="1" applyFill="1" applyBorder="1" applyProtection="1">
      <protection locked="0"/>
    </xf>
    <xf numFmtId="14" fontId="11" fillId="2" borderId="23" xfId="0" applyNumberFormat="1" applyFont="1" applyFill="1" applyBorder="1" applyProtection="1">
      <protection locked="0"/>
    </xf>
    <xf numFmtId="0" fontId="11" fillId="2" borderId="25" xfId="0" applyFont="1" applyFill="1" applyBorder="1" applyProtection="1">
      <protection locked="0"/>
    </xf>
    <xf numFmtId="0" fontId="11" fillId="2" borderId="26" xfId="0" applyFont="1" applyFill="1" applyBorder="1" applyProtection="1">
      <protection locked="0"/>
    </xf>
    <xf numFmtId="0" fontId="11" fillId="2" borderId="7" xfId="0" applyFont="1" applyFill="1" applyBorder="1" applyAlignment="1" applyProtection="1">
      <alignment horizontal="left"/>
      <protection locked="0"/>
    </xf>
    <xf numFmtId="0" fontId="11" fillId="2" borderId="1" xfId="0" applyFont="1" applyFill="1" applyBorder="1" applyAlignment="1" applyProtection="1">
      <alignment horizontal="left"/>
      <protection locked="0"/>
    </xf>
    <xf numFmtId="164" fontId="9" fillId="0" borderId="0" xfId="0" applyNumberFormat="1" applyFont="1" applyAlignment="1">
      <alignment horizontal="left" vertical="center"/>
    </xf>
    <xf numFmtId="164" fontId="8" fillId="0" borderId="0" xfId="0" applyNumberFormat="1" applyFont="1" applyAlignment="1">
      <alignment horizontal="center" vertical="center"/>
    </xf>
    <xf numFmtId="164" fontId="2" fillId="0" borderId="0" xfId="0" applyNumberFormat="1" applyFont="1" applyAlignment="1">
      <alignment horizontal="center" vertical="center"/>
    </xf>
    <xf numFmtId="164" fontId="3" fillId="0" borderId="0" xfId="0" applyNumberFormat="1" applyFont="1" applyAlignment="1">
      <alignment horizontal="center" vertical="center"/>
    </xf>
    <xf numFmtId="164" fontId="10" fillId="0" borderId="0" xfId="0" applyNumberFormat="1" applyFont="1" applyAlignment="1">
      <alignment horizontal="left" vertical="center" wrapText="1"/>
    </xf>
    <xf numFmtId="164" fontId="4" fillId="0" borderId="0" xfId="0" applyNumberFormat="1" applyFont="1" applyAlignment="1">
      <alignment horizontal="center" wrapText="1"/>
    </xf>
    <xf numFmtId="164" fontId="4" fillId="0" borderId="0" xfId="0" applyNumberFormat="1" applyFont="1" applyAlignment="1">
      <alignment horizontal="left" vertical="center" wrapText="1"/>
    </xf>
    <xf numFmtId="166" fontId="2" fillId="0" borderId="7" xfId="0" applyNumberFormat="1" applyFont="1" applyBorder="1" applyAlignment="1">
      <alignment horizontal="center" vertical="center" textRotation="90" wrapText="1"/>
    </xf>
    <xf numFmtId="166" fontId="2" fillId="0" borderId="1" xfId="0" applyNumberFormat="1" applyFont="1" applyBorder="1" applyAlignment="1">
      <alignment horizontal="center" vertical="center" textRotation="90"/>
    </xf>
    <xf numFmtId="166" fontId="2" fillId="0" borderId="1"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3" xfId="0" applyNumberFormat="1" applyFont="1" applyFill="1" applyBorder="1" applyAlignment="1">
      <alignment horizontal="left" vertical="center"/>
    </xf>
    <xf numFmtId="164" fontId="3" fillId="0" borderId="14" xfId="0" applyNumberFormat="1" applyFont="1" applyBorder="1" applyAlignment="1">
      <alignment horizontal="center" vertical="center"/>
    </xf>
    <xf numFmtId="164" fontId="2" fillId="6" borderId="15" xfId="0" applyNumberFormat="1" applyFont="1" applyFill="1" applyBorder="1" applyAlignment="1">
      <alignment horizontal="left" vertical="center"/>
    </xf>
    <xf numFmtId="164" fontId="3" fillId="6" borderId="16" xfId="0" applyNumberFormat="1" applyFont="1" applyFill="1" applyBorder="1" applyAlignment="1">
      <alignment horizontal="center" vertical="center"/>
    </xf>
    <xf numFmtId="164" fontId="2" fillId="0" borderId="8" xfId="0" applyNumberFormat="1" applyFont="1" applyBorder="1" applyAlignment="1">
      <alignment horizontal="center" vertical="center"/>
    </xf>
    <xf numFmtId="164" fontId="4" fillId="4" borderId="10" xfId="0" applyNumberFormat="1" applyFont="1" applyFill="1" applyBorder="1" applyAlignment="1">
      <alignment vertical="center"/>
    </xf>
    <xf numFmtId="164" fontId="3" fillId="4" borderId="10" xfId="0" applyNumberFormat="1" applyFont="1" applyFill="1" applyBorder="1" applyAlignment="1">
      <alignment vertical="center"/>
    </xf>
    <xf numFmtId="164" fontId="2" fillId="3" borderId="21" xfId="0" applyNumberFormat="1" applyFont="1" applyFill="1" applyBorder="1" applyAlignment="1">
      <alignment horizontal="center" vertical="center"/>
    </xf>
    <xf numFmtId="164" fontId="4" fillId="4" borderId="11" xfId="0" applyNumberFormat="1" applyFont="1" applyFill="1" applyBorder="1" applyAlignment="1">
      <alignment vertical="center"/>
    </xf>
    <xf numFmtId="164" fontId="4" fillId="4" borderId="8" xfId="0" applyNumberFormat="1" applyFont="1" applyFill="1" applyBorder="1" applyAlignment="1">
      <alignment vertical="center"/>
    </xf>
    <xf numFmtId="164" fontId="3" fillId="4" borderId="8" xfId="0" applyNumberFormat="1" applyFont="1" applyFill="1" applyBorder="1" applyAlignment="1">
      <alignment vertical="center"/>
    </xf>
    <xf numFmtId="164" fontId="2" fillId="6" borderId="22" xfId="0" applyNumberFormat="1" applyFont="1" applyFill="1" applyBorder="1" applyAlignment="1">
      <alignment horizontal="center" vertical="center"/>
    </xf>
    <xf numFmtId="164" fontId="7" fillId="3" borderId="12" xfId="0" applyNumberFormat="1" applyFont="1" applyFill="1" applyBorder="1" applyAlignment="1">
      <alignment vertical="center" wrapText="1"/>
    </xf>
    <xf numFmtId="164" fontId="3" fillId="2" borderId="1" xfId="0" applyNumberFormat="1" applyFont="1" applyFill="1" applyBorder="1" applyAlignment="1">
      <alignment horizontal="center" vertical="center"/>
    </xf>
    <xf numFmtId="164" fontId="3" fillId="0" borderId="1" xfId="0" applyNumberFormat="1" applyFont="1" applyBorder="1" applyAlignment="1">
      <alignment horizontal="center" vertical="center"/>
    </xf>
    <xf numFmtId="164" fontId="3" fillId="0" borderId="20" xfId="0" applyNumberFormat="1" applyFont="1" applyBorder="1" applyAlignment="1">
      <alignment horizontal="center" vertical="center"/>
    </xf>
    <xf numFmtId="164" fontId="7" fillId="6" borderId="18" xfId="0" applyNumberFormat="1" applyFont="1" applyFill="1" applyBorder="1" applyAlignment="1">
      <alignment vertical="center" wrapText="1"/>
    </xf>
    <xf numFmtId="164" fontId="3" fillId="2" borderId="2" xfId="0" applyNumberFormat="1" applyFont="1" applyFill="1" applyBorder="1" applyAlignment="1">
      <alignment horizontal="center" vertical="center"/>
    </xf>
    <xf numFmtId="164" fontId="3" fillId="2" borderId="19" xfId="0" applyNumberFormat="1" applyFont="1" applyFill="1" applyBorder="1" applyAlignment="1">
      <alignment horizontal="center" vertical="center"/>
    </xf>
    <xf numFmtId="164" fontId="3" fillId="0" borderId="19" xfId="0" applyNumberFormat="1" applyFont="1" applyBorder="1" applyAlignment="1">
      <alignment horizontal="center" vertical="center"/>
    </xf>
    <xf numFmtId="164" fontId="3" fillId="0" borderId="24" xfId="0" applyNumberFormat="1" applyFont="1" applyBorder="1" applyAlignment="1">
      <alignment horizontal="center" vertical="center"/>
    </xf>
    <xf numFmtId="164" fontId="4" fillId="5" borderId="10" xfId="0" applyNumberFormat="1" applyFont="1" applyFill="1" applyBorder="1" applyAlignment="1">
      <alignment vertical="center" wrapText="1"/>
    </xf>
    <xf numFmtId="164" fontId="3" fillId="5" borderId="10" xfId="0" applyNumberFormat="1" applyFont="1" applyFill="1" applyBorder="1" applyAlignment="1">
      <alignment vertical="center"/>
    </xf>
    <xf numFmtId="164" fontId="4" fillId="5" borderId="11" xfId="0" applyNumberFormat="1" applyFont="1" applyFill="1" applyBorder="1" applyAlignment="1">
      <alignment horizontal="left" vertical="center"/>
    </xf>
    <xf numFmtId="164" fontId="4" fillId="5" borderId="8" xfId="0" applyNumberFormat="1" applyFont="1" applyFill="1" applyBorder="1" applyAlignment="1">
      <alignment vertical="center" wrapText="1"/>
    </xf>
    <xf numFmtId="164" fontId="3" fillId="5" borderId="8" xfId="0" applyNumberFormat="1" applyFont="1" applyFill="1" applyBorder="1" applyAlignment="1">
      <alignment horizontal="center" vertical="center"/>
    </xf>
    <xf numFmtId="164" fontId="4" fillId="7" borderId="10" xfId="0" applyNumberFormat="1" applyFont="1" applyFill="1" applyBorder="1" applyAlignment="1">
      <alignment vertical="center"/>
    </xf>
    <xf numFmtId="164" fontId="3" fillId="7" borderId="10" xfId="0" applyNumberFormat="1" applyFont="1" applyFill="1" applyBorder="1" applyAlignment="1">
      <alignment vertical="center"/>
    </xf>
    <xf numFmtId="164" fontId="4" fillId="7" borderId="11" xfId="0" applyNumberFormat="1" applyFont="1" applyFill="1" applyBorder="1" applyAlignment="1">
      <alignment vertical="center"/>
    </xf>
    <xf numFmtId="164" fontId="4" fillId="7" borderId="8" xfId="0" applyNumberFormat="1" applyFont="1" applyFill="1" applyBorder="1" applyAlignment="1">
      <alignment vertical="center"/>
    </xf>
    <xf numFmtId="164" fontId="3" fillId="7" borderId="8" xfId="0" applyNumberFormat="1" applyFont="1" applyFill="1" applyBorder="1" applyAlignment="1">
      <alignment vertical="center"/>
    </xf>
    <xf numFmtId="164" fontId="4" fillId="8" borderId="10" xfId="0" applyNumberFormat="1" applyFont="1" applyFill="1" applyBorder="1" applyAlignment="1">
      <alignment vertical="center"/>
    </xf>
    <xf numFmtId="164" fontId="3" fillId="8" borderId="10" xfId="0" applyNumberFormat="1" applyFont="1" applyFill="1" applyBorder="1" applyAlignment="1">
      <alignment vertical="center"/>
    </xf>
    <xf numFmtId="164" fontId="4" fillId="8" borderId="11" xfId="0" applyNumberFormat="1" applyFont="1" applyFill="1" applyBorder="1" applyAlignment="1">
      <alignment vertical="center"/>
    </xf>
    <xf numFmtId="164" fontId="4" fillId="8" borderId="8" xfId="0" applyNumberFormat="1" applyFont="1" applyFill="1" applyBorder="1" applyAlignment="1">
      <alignment vertical="center"/>
    </xf>
    <xf numFmtId="164" fontId="3" fillId="8" borderId="8" xfId="0" applyNumberFormat="1" applyFont="1" applyFill="1" applyBorder="1" applyAlignment="1">
      <alignment vertical="center"/>
    </xf>
    <xf numFmtId="164" fontId="12" fillId="2" borderId="3" xfId="0" applyNumberFormat="1" applyFont="1" applyFill="1" applyBorder="1" applyAlignment="1" applyProtection="1">
      <alignment horizontal="center" vertical="center"/>
      <protection locked="0"/>
    </xf>
    <xf numFmtId="164" fontId="12" fillId="0" borderId="4" xfId="0" applyNumberFormat="1" applyFont="1" applyBorder="1" applyAlignment="1" applyProtection="1">
      <alignment horizontal="center" vertical="center"/>
      <protection locked="0"/>
    </xf>
    <xf numFmtId="164" fontId="12" fillId="2" borderId="4" xfId="0" applyNumberFormat="1" applyFont="1" applyFill="1" applyBorder="1" applyAlignment="1" applyProtection="1">
      <alignment horizontal="center" vertical="center"/>
      <protection locked="0"/>
    </xf>
    <xf numFmtId="164" fontId="13" fillId="0" borderId="0" xfId="0" applyNumberFormat="1" applyFont="1" applyAlignment="1" applyProtection="1">
      <alignment horizontal="left" vertical="center"/>
      <protection locked="0"/>
    </xf>
    <xf numFmtId="0" fontId="1" fillId="0" borderId="0" xfId="0" applyFont="1" applyAlignment="1">
      <alignment horizontal="left"/>
    </xf>
    <xf numFmtId="0" fontId="1" fillId="0" borderId="0" xfId="0" applyFont="1" applyAlignment="1">
      <alignment horizontal="center"/>
    </xf>
    <xf numFmtId="0" fontId="0" fillId="0" borderId="0" xfId="0" applyAlignment="1">
      <alignment horizontal="center"/>
    </xf>
    <xf numFmtId="14" fontId="0" fillId="0" borderId="0" xfId="0" applyNumberFormat="1" applyAlignment="1">
      <alignment horizontal="left"/>
    </xf>
    <xf numFmtId="0" fontId="0" fillId="0" borderId="0" xfId="0" applyAlignment="1">
      <alignment horizontal="left"/>
    </xf>
    <xf numFmtId="0" fontId="1" fillId="0" borderId="23" xfId="0" applyFont="1" applyBorder="1" applyAlignment="1">
      <alignment horizontal="center" vertical="top"/>
    </xf>
    <xf numFmtId="0" fontId="1" fillId="0" borderId="23" xfId="0" applyFont="1" applyBorder="1" applyAlignment="1">
      <alignment horizontal="left" vertical="top"/>
    </xf>
    <xf numFmtId="20" fontId="0" fillId="0" borderId="0" xfId="0" applyNumberFormat="1"/>
    <xf numFmtId="165" fontId="0" fillId="0" borderId="27" xfId="0" applyNumberFormat="1" applyBorder="1" applyAlignment="1">
      <alignment horizontal="center" vertical="center"/>
    </xf>
    <xf numFmtId="0" fontId="0" fillId="0" borderId="0" xfId="0" applyAlignment="1">
      <alignment horizontal="center" vertical="center"/>
    </xf>
    <xf numFmtId="167" fontId="0" fillId="0" borderId="0" xfId="0" applyNumberFormat="1"/>
    <xf numFmtId="0" fontId="0" fillId="3" borderId="0" xfId="0" applyFill="1" applyAlignment="1">
      <alignment horizontal="center" vertical="center"/>
    </xf>
    <xf numFmtId="0" fontId="0" fillId="9" borderId="0" xfId="0" applyFill="1" applyAlignment="1">
      <alignment horizontal="center" vertical="center"/>
    </xf>
    <xf numFmtId="20" fontId="0" fillId="6" borderId="0" xfId="0" applyNumberFormat="1" applyFill="1"/>
    <xf numFmtId="14" fontId="11" fillId="3" borderId="23" xfId="0" applyNumberFormat="1" applyFont="1" applyFill="1" applyBorder="1" applyAlignment="1" applyProtection="1">
      <alignment horizontal="center" vertical="top"/>
      <protection locked="0"/>
    </xf>
    <xf numFmtId="0" fontId="0" fillId="3" borderId="23" xfId="0" applyFill="1" applyBorder="1" applyAlignment="1">
      <alignment horizontal="center" vertical="top"/>
    </xf>
    <xf numFmtId="0" fontId="0" fillId="3" borderId="23" xfId="0" applyFill="1" applyBorder="1" applyAlignment="1" applyProtection="1">
      <alignment horizontal="center" vertical="top"/>
      <protection locked="0"/>
    </xf>
    <xf numFmtId="165" fontId="11" fillId="3" borderId="23" xfId="0" applyNumberFormat="1" applyFont="1" applyFill="1" applyBorder="1" applyAlignment="1" applyProtection="1">
      <alignment horizontal="center" vertical="top"/>
      <protection locked="0"/>
    </xf>
    <xf numFmtId="0" fontId="11" fillId="3" borderId="23" xfId="0" applyFont="1" applyFill="1" applyBorder="1" applyAlignment="1" applyProtection="1">
      <alignment horizontal="left" vertical="top" wrapText="1"/>
      <protection locked="0"/>
    </xf>
    <xf numFmtId="14" fontId="11" fillId="9" borderId="23" xfId="0" applyNumberFormat="1" applyFont="1" applyFill="1" applyBorder="1" applyAlignment="1" applyProtection="1">
      <alignment horizontal="center" vertical="top"/>
      <protection locked="0"/>
    </xf>
    <xf numFmtId="0" fontId="0" fillId="9" borderId="23" xfId="0" applyFill="1" applyBorder="1" applyAlignment="1">
      <alignment horizontal="center" vertical="top"/>
    </xf>
    <xf numFmtId="0" fontId="0" fillId="9" borderId="23" xfId="0" applyFill="1" applyBorder="1" applyAlignment="1" applyProtection="1">
      <alignment horizontal="center" vertical="top"/>
      <protection locked="0"/>
    </xf>
    <xf numFmtId="165" fontId="11" fillId="9" borderId="23" xfId="0" applyNumberFormat="1" applyFont="1" applyFill="1" applyBorder="1" applyAlignment="1" applyProtection="1">
      <alignment horizontal="center" vertical="top"/>
      <protection locked="0"/>
    </xf>
    <xf numFmtId="0" fontId="11" fillId="9" borderId="23" xfId="0" applyFont="1" applyFill="1" applyBorder="1" applyAlignment="1" applyProtection="1">
      <alignment horizontal="left" vertical="top" wrapText="1"/>
      <protection locked="0"/>
    </xf>
    <xf numFmtId="165" fontId="11" fillId="9" borderId="23" xfId="0" applyNumberFormat="1" applyFont="1" applyFill="1" applyBorder="1" applyAlignment="1" applyProtection="1">
      <alignment horizontal="left" vertical="top" wrapText="1"/>
      <protection locked="0"/>
    </xf>
    <xf numFmtId="0" fontId="11" fillId="2" borderId="7" xfId="0" applyFont="1" applyFill="1" applyBorder="1" applyAlignment="1" applyProtection="1">
      <alignment horizontal="left" vertical="top" wrapText="1"/>
      <protection locked="0"/>
    </xf>
    <xf numFmtId="0" fontId="11" fillId="2" borderId="1" xfId="0" applyFont="1" applyFill="1" applyBorder="1" applyAlignment="1" applyProtection="1">
      <alignment horizontal="left" vertical="top" wrapText="1"/>
      <protection locked="0"/>
    </xf>
    <xf numFmtId="0" fontId="11" fillId="2" borderId="19" xfId="0" applyFont="1" applyFill="1" applyBorder="1" applyAlignment="1" applyProtection="1">
      <alignment horizontal="left" vertical="top" wrapText="1"/>
      <protection locked="0"/>
    </xf>
    <xf numFmtId="164" fontId="7" fillId="2" borderId="9" xfId="0" applyNumberFormat="1" applyFont="1" applyFill="1" applyBorder="1" applyAlignment="1">
      <alignment horizontal="left" vertical="center" wrapText="1"/>
    </xf>
    <xf numFmtId="164" fontId="7" fillId="2" borderId="17" xfId="0" applyNumberFormat="1" applyFont="1" applyFill="1" applyBorder="1" applyAlignment="1">
      <alignment horizontal="left" vertical="center" wrapText="1"/>
    </xf>
    <xf numFmtId="164" fontId="7" fillId="2" borderId="28" xfId="0" applyNumberFormat="1" applyFont="1" applyFill="1" applyBorder="1" applyAlignment="1">
      <alignment horizontal="left" vertical="center" wrapText="1"/>
    </xf>
  </cellXfs>
  <cellStyles count="1">
    <cellStyle name="Normal" xfId="0" builtinId="0"/>
  </cellStyles>
  <dxfs count="137">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H33"/>
  <sheetViews>
    <sheetView workbookViewId="0">
      <selection activeCell="G21" sqref="G21"/>
    </sheetView>
  </sheetViews>
  <sheetFormatPr baseColWidth="10" defaultColWidth="11.42578125" defaultRowHeight="15" x14ac:dyDescent="0.25"/>
  <cols>
    <col min="1" max="1" width="26.5703125" bestFit="1" customWidth="1"/>
    <col min="2" max="2" width="14.140625" customWidth="1"/>
    <col min="3" max="3" width="16.5703125" customWidth="1"/>
    <col min="4" max="4" width="17.28515625" customWidth="1"/>
    <col min="5" max="5" width="3.85546875" customWidth="1"/>
    <col min="6" max="6" width="24.140625" customWidth="1"/>
    <col min="7" max="7" width="51" customWidth="1"/>
  </cols>
  <sheetData>
    <row r="1" spans="1:8" x14ac:dyDescent="0.25">
      <c r="A1" s="13"/>
      <c r="B1" s="13"/>
      <c r="C1" s="13"/>
      <c r="D1" s="13"/>
      <c r="E1" s="13"/>
      <c r="F1" s="13"/>
      <c r="G1" s="13"/>
      <c r="H1" s="13"/>
    </row>
    <row r="2" spans="1:8" x14ac:dyDescent="0.25">
      <c r="A2" s="13"/>
      <c r="B2" s="13"/>
      <c r="C2" s="13" t="s">
        <v>0</v>
      </c>
      <c r="D2" s="13"/>
      <c r="E2" s="13"/>
      <c r="F2" s="13"/>
      <c r="G2" s="13"/>
      <c r="H2" s="13"/>
    </row>
    <row r="3" spans="1:8" x14ac:dyDescent="0.25">
      <c r="A3" s="14" t="s">
        <v>1</v>
      </c>
      <c r="B3" s="14" t="s">
        <v>2</v>
      </c>
      <c r="C3" s="14" t="s">
        <v>3</v>
      </c>
      <c r="D3" s="14" t="s">
        <v>4</v>
      </c>
      <c r="E3" s="14"/>
      <c r="F3" s="14" t="s">
        <v>5</v>
      </c>
      <c r="G3" s="14" t="s">
        <v>6</v>
      </c>
      <c r="H3" s="13"/>
    </row>
    <row r="4" spans="1:8" x14ac:dyDescent="0.25">
      <c r="A4" s="100" t="s">
        <v>61</v>
      </c>
      <c r="B4" s="19">
        <v>45412</v>
      </c>
      <c r="C4" s="20" t="s">
        <v>28</v>
      </c>
      <c r="D4" s="21" t="s">
        <v>27</v>
      </c>
      <c r="E4" s="13"/>
      <c r="F4" s="16" t="s">
        <v>7</v>
      </c>
      <c r="G4" s="16" t="s">
        <v>29</v>
      </c>
      <c r="H4" s="13"/>
    </row>
    <row r="5" spans="1:8" x14ac:dyDescent="0.25">
      <c r="A5" s="101"/>
      <c r="B5" s="13"/>
      <c r="C5" s="13"/>
      <c r="D5" s="13"/>
      <c r="E5" s="13"/>
      <c r="F5" s="11"/>
      <c r="G5" s="17" t="s">
        <v>49</v>
      </c>
      <c r="H5" s="13"/>
    </row>
    <row r="6" spans="1:8" x14ac:dyDescent="0.25">
      <c r="A6" s="102"/>
      <c r="B6" s="13"/>
      <c r="C6" s="13"/>
      <c r="D6" s="13"/>
      <c r="E6" s="13"/>
      <c r="F6" s="11"/>
      <c r="G6" s="17" t="s">
        <v>50</v>
      </c>
      <c r="H6" s="13"/>
    </row>
    <row r="7" spans="1:8" x14ac:dyDescent="0.25">
      <c r="A7" s="13"/>
      <c r="B7" s="13"/>
      <c r="C7" s="13"/>
      <c r="D7" s="13"/>
      <c r="E7" s="13"/>
      <c r="F7" s="11"/>
      <c r="G7" s="17" t="s">
        <v>51</v>
      </c>
      <c r="H7" s="13"/>
    </row>
    <row r="8" spans="1:8" x14ac:dyDescent="0.25">
      <c r="A8" s="13"/>
      <c r="B8" s="13"/>
      <c r="C8" s="13"/>
      <c r="D8" s="13"/>
      <c r="E8" s="13"/>
      <c r="F8" s="11"/>
      <c r="G8" s="17" t="s">
        <v>52</v>
      </c>
      <c r="H8" s="13"/>
    </row>
    <row r="9" spans="1:8" x14ac:dyDescent="0.25">
      <c r="A9" s="13"/>
      <c r="B9" s="13"/>
      <c r="C9" s="13"/>
      <c r="D9" s="13"/>
      <c r="E9" s="13"/>
      <c r="F9" s="11"/>
      <c r="G9" s="17" t="s">
        <v>53</v>
      </c>
      <c r="H9" s="13"/>
    </row>
    <row r="10" spans="1:8" x14ac:dyDescent="0.25">
      <c r="A10" s="13"/>
      <c r="B10" s="13"/>
      <c r="C10" s="13"/>
      <c r="D10" s="13"/>
      <c r="E10" s="13"/>
      <c r="F10" s="11"/>
      <c r="G10" s="17" t="s">
        <v>54</v>
      </c>
      <c r="H10" s="13"/>
    </row>
    <row r="11" spans="1:8" x14ac:dyDescent="0.25">
      <c r="A11" s="13"/>
      <c r="B11" s="13"/>
      <c r="C11" s="13"/>
      <c r="D11" s="13"/>
      <c r="E11" s="13"/>
      <c r="F11" s="11"/>
      <c r="G11" s="18" t="s">
        <v>55</v>
      </c>
      <c r="H11" s="13"/>
    </row>
    <row r="12" spans="1:8" x14ac:dyDescent="0.25">
      <c r="A12" s="13"/>
      <c r="B12" s="13"/>
      <c r="C12" s="13"/>
      <c r="D12" s="13"/>
      <c r="E12" s="13"/>
      <c r="F12" s="16" t="s">
        <v>8</v>
      </c>
      <c r="G12" s="16" t="s">
        <v>30</v>
      </c>
      <c r="H12" s="13"/>
    </row>
    <row r="13" spans="1:8" x14ac:dyDescent="0.25">
      <c r="A13" s="13"/>
      <c r="B13" s="13"/>
      <c r="C13" s="13"/>
      <c r="D13" s="13"/>
      <c r="E13" s="13"/>
      <c r="F13" s="11"/>
      <c r="G13" s="17" t="s">
        <v>31</v>
      </c>
      <c r="H13" s="13"/>
    </row>
    <row r="14" spans="1:8" x14ac:dyDescent="0.25">
      <c r="A14" s="13"/>
      <c r="B14" s="13"/>
      <c r="C14" s="13"/>
      <c r="D14" s="13"/>
      <c r="E14" s="13"/>
      <c r="F14" s="11"/>
      <c r="G14" s="17" t="s">
        <v>32</v>
      </c>
      <c r="H14" s="13"/>
    </row>
    <row r="15" spans="1:8" x14ac:dyDescent="0.25">
      <c r="A15" s="13"/>
      <c r="B15" s="13"/>
      <c r="C15" s="13"/>
      <c r="D15" s="13"/>
      <c r="E15" s="13"/>
      <c r="F15" s="11"/>
      <c r="G15" s="17" t="s">
        <v>33</v>
      </c>
      <c r="H15" s="13"/>
    </row>
    <row r="16" spans="1:8" x14ac:dyDescent="0.25">
      <c r="A16" s="13"/>
      <c r="B16" s="13"/>
      <c r="C16" s="13"/>
      <c r="D16" s="13"/>
      <c r="E16" s="13"/>
      <c r="F16" s="11"/>
      <c r="G16" s="17" t="s">
        <v>34</v>
      </c>
      <c r="H16" s="13"/>
    </row>
    <row r="17" spans="1:8" x14ac:dyDescent="0.25">
      <c r="A17" s="13"/>
      <c r="B17" s="13"/>
      <c r="C17" s="13"/>
      <c r="D17" s="13"/>
      <c r="E17" s="13"/>
      <c r="F17" s="11"/>
      <c r="G17" s="17" t="s">
        <v>35</v>
      </c>
      <c r="H17" s="13"/>
    </row>
    <row r="18" spans="1:8" x14ac:dyDescent="0.25">
      <c r="A18" s="13"/>
      <c r="B18" s="13"/>
      <c r="C18" s="13"/>
      <c r="D18" s="13"/>
      <c r="E18" s="13"/>
      <c r="F18" s="11"/>
      <c r="G18" s="17" t="s">
        <v>36</v>
      </c>
      <c r="H18" s="13"/>
    </row>
    <row r="19" spans="1:8" x14ac:dyDescent="0.25">
      <c r="A19" s="13"/>
      <c r="B19" s="13"/>
      <c r="C19" s="13"/>
      <c r="D19" s="13"/>
      <c r="E19" s="13"/>
      <c r="F19" s="11"/>
      <c r="G19" s="17" t="s">
        <v>37</v>
      </c>
      <c r="H19" s="13"/>
    </row>
    <row r="20" spans="1:8" x14ac:dyDescent="0.25">
      <c r="A20" s="13"/>
      <c r="B20" s="13"/>
      <c r="C20" s="13"/>
      <c r="D20" s="13"/>
      <c r="E20" s="13"/>
      <c r="F20" s="11"/>
      <c r="G20" s="17" t="s">
        <v>38</v>
      </c>
      <c r="H20" s="13"/>
    </row>
    <row r="21" spans="1:8" x14ac:dyDescent="0.25">
      <c r="A21" s="13"/>
      <c r="B21" s="13"/>
      <c r="C21" s="13"/>
      <c r="D21" s="13"/>
      <c r="E21" s="13"/>
      <c r="F21" s="11"/>
      <c r="G21" s="17" t="s">
        <v>39</v>
      </c>
      <c r="H21" s="13"/>
    </row>
    <row r="22" spans="1:8" x14ac:dyDescent="0.25">
      <c r="A22" s="13"/>
      <c r="B22" s="13"/>
      <c r="C22" s="13"/>
      <c r="D22" s="13"/>
      <c r="E22" s="13"/>
      <c r="F22" s="11"/>
      <c r="G22" s="17" t="s">
        <v>40</v>
      </c>
      <c r="H22" s="13"/>
    </row>
    <row r="23" spans="1:8" x14ac:dyDescent="0.25">
      <c r="A23" s="13"/>
      <c r="B23" s="13"/>
      <c r="C23" s="13"/>
      <c r="D23" s="13"/>
      <c r="E23" s="13"/>
      <c r="F23" s="12"/>
      <c r="G23" s="17" t="s">
        <v>41</v>
      </c>
      <c r="H23" s="13"/>
    </row>
    <row r="24" spans="1:8" x14ac:dyDescent="0.25">
      <c r="A24" s="13"/>
      <c r="B24" s="13"/>
      <c r="C24" s="13"/>
      <c r="D24" s="13"/>
      <c r="E24" s="13"/>
      <c r="F24" s="16" t="s">
        <v>9</v>
      </c>
      <c r="G24" s="22" t="s">
        <v>42</v>
      </c>
      <c r="H24" s="13"/>
    </row>
    <row r="25" spans="1:8" x14ac:dyDescent="0.25">
      <c r="A25" s="13"/>
      <c r="B25" s="13"/>
      <c r="C25" s="13"/>
      <c r="D25" s="13"/>
      <c r="E25" s="13"/>
      <c r="F25" s="11"/>
      <c r="G25" s="23" t="s">
        <v>43</v>
      </c>
      <c r="H25" s="13"/>
    </row>
    <row r="26" spans="1:8" x14ac:dyDescent="0.25">
      <c r="A26" s="13"/>
      <c r="B26" s="13"/>
      <c r="C26" s="13"/>
      <c r="D26" s="13"/>
      <c r="E26" s="13"/>
      <c r="F26" s="11"/>
      <c r="G26" s="23" t="s">
        <v>44</v>
      </c>
      <c r="H26" s="13"/>
    </row>
    <row r="27" spans="1:8" x14ac:dyDescent="0.25">
      <c r="A27" s="13"/>
      <c r="B27" s="13"/>
      <c r="C27" s="13"/>
      <c r="D27" s="13"/>
      <c r="E27" s="13"/>
      <c r="F27" s="16" t="s">
        <v>10</v>
      </c>
      <c r="G27" s="22" t="s">
        <v>85</v>
      </c>
      <c r="H27" s="13"/>
    </row>
    <row r="28" spans="1:8" x14ac:dyDescent="0.25">
      <c r="A28" s="13"/>
      <c r="B28" s="13"/>
      <c r="C28" s="13"/>
      <c r="D28" s="13"/>
      <c r="E28" s="13"/>
      <c r="F28" s="11"/>
      <c r="G28" s="23" t="s">
        <v>86</v>
      </c>
      <c r="H28" s="13"/>
    </row>
    <row r="29" spans="1:8" x14ac:dyDescent="0.25">
      <c r="A29" s="13"/>
      <c r="B29" s="13"/>
      <c r="C29" s="13"/>
      <c r="D29" s="13"/>
      <c r="E29" s="13"/>
      <c r="F29" s="11"/>
      <c r="G29" s="23"/>
      <c r="H29" s="13"/>
    </row>
    <row r="30" spans="1:8" x14ac:dyDescent="0.25">
      <c r="A30" s="13"/>
      <c r="B30" s="13"/>
      <c r="C30" s="13"/>
      <c r="D30" s="13"/>
      <c r="E30" s="13"/>
      <c r="F30" s="11"/>
      <c r="G30" s="17"/>
      <c r="H30" s="13"/>
    </row>
    <row r="31" spans="1:8" x14ac:dyDescent="0.25">
      <c r="A31" s="13"/>
      <c r="B31" s="13"/>
      <c r="C31" s="13"/>
      <c r="D31" s="13"/>
      <c r="E31" s="13"/>
      <c r="F31" s="11"/>
      <c r="G31" s="17"/>
      <c r="H31" s="13"/>
    </row>
    <row r="32" spans="1:8" x14ac:dyDescent="0.25">
      <c r="A32" s="13"/>
      <c r="B32" s="13"/>
      <c r="C32" s="13"/>
      <c r="D32" s="13"/>
      <c r="E32" s="13"/>
      <c r="F32" s="12"/>
      <c r="G32" s="17"/>
      <c r="H32" s="13"/>
    </row>
    <row r="33" spans="1:8" x14ac:dyDescent="0.25">
      <c r="A33" s="13"/>
      <c r="B33" s="13"/>
      <c r="C33" s="13"/>
      <c r="D33" s="13"/>
      <c r="E33" s="13"/>
      <c r="F33" s="13"/>
      <c r="G33" s="13"/>
      <c r="H33" s="13"/>
    </row>
  </sheetData>
  <sheetProtection selectLockedCells="1"/>
  <mergeCells count="1">
    <mergeCell ref="A4:A6"/>
  </mergeCells>
  <phoneticPr fontId="14" type="noConversion"/>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pageSetUpPr fitToPage="1"/>
  </sheetPr>
  <dimension ref="A1:L85"/>
  <sheetViews>
    <sheetView tabSelected="1" topLeftCell="A7" zoomScale="85" zoomScaleNormal="85" workbookViewId="0">
      <selection activeCell="T11" sqref="T11"/>
    </sheetView>
  </sheetViews>
  <sheetFormatPr baseColWidth="10" defaultColWidth="11.42578125" defaultRowHeight="16.5" x14ac:dyDescent="0.25"/>
  <cols>
    <col min="1" max="1" width="28.5703125" style="27" bestFit="1" customWidth="1"/>
    <col min="2" max="2" width="49.28515625" style="27" bestFit="1" customWidth="1"/>
    <col min="3" max="3" width="10.140625" style="27" bestFit="1" customWidth="1"/>
    <col min="4" max="4" width="8.28515625" style="27" bestFit="1" customWidth="1"/>
    <col min="5" max="5" width="1.42578125" style="27" customWidth="1"/>
    <col min="6" max="6" width="9.140625" style="27" bestFit="1" customWidth="1"/>
    <col min="7" max="7" width="1.42578125" style="27" customWidth="1"/>
    <col min="8" max="8" width="8.28515625" style="27" bestFit="1" customWidth="1"/>
    <col min="9" max="9" width="1.42578125" style="27" customWidth="1"/>
    <col min="10" max="10" width="8.28515625" style="27" bestFit="1" customWidth="1"/>
    <col min="11" max="11" width="1.42578125" style="27" customWidth="1"/>
    <col min="12" max="12" width="10.140625" style="27" bestFit="1" customWidth="1"/>
    <col min="13" max="16384" width="11.42578125" style="27"/>
  </cols>
  <sheetData>
    <row r="1" spans="1:12" ht="36" x14ac:dyDescent="0.25">
      <c r="A1" s="24" t="s">
        <v>1</v>
      </c>
      <c r="B1" s="28" t="str">
        <f>CONCATENATE(Base!A4,IF(ISBLANK(Base!A5),, "-"),Base!A5,IF(ISBLANK(Base!A6),, "-"),Base!A6)</f>
        <v>Application C# de type plateforme de vente de voiture</v>
      </c>
      <c r="C1" s="25"/>
      <c r="D1" s="74" t="s">
        <v>11</v>
      </c>
      <c r="E1" s="26"/>
      <c r="F1" s="26"/>
      <c r="G1" s="26"/>
      <c r="H1" s="26"/>
      <c r="I1" s="26"/>
      <c r="J1" s="26"/>
      <c r="K1" s="26"/>
    </row>
    <row r="2" spans="1:12" s="34" customFormat="1" ht="58.5" customHeight="1" thickBot="1" x14ac:dyDescent="0.35">
      <c r="B2" s="29" t="s">
        <v>12</v>
      </c>
      <c r="C2" s="30"/>
      <c r="D2" s="31">
        <f>Base!B4</f>
        <v>45412</v>
      </c>
      <c r="E2" s="32"/>
      <c r="F2" s="31">
        <f>D2+7</f>
        <v>45419</v>
      </c>
      <c r="G2" s="33"/>
      <c r="H2" s="31">
        <f>F2+10</f>
        <v>45429</v>
      </c>
      <c r="I2" s="33"/>
      <c r="J2" s="31">
        <f>H2+7</f>
        <v>45436</v>
      </c>
      <c r="K2" s="33"/>
    </row>
    <row r="3" spans="1:12" ht="17.25" thickBot="1" x14ac:dyDescent="0.3">
      <c r="A3" s="35" t="s">
        <v>13</v>
      </c>
      <c r="B3" s="36">
        <f>SUM(D3:K3)</f>
        <v>3.7500000000000004</v>
      </c>
      <c r="D3" s="1">
        <f>SUMIF($C$8:$C$63,$C8,D$8:D$63)</f>
        <v>1.0590277777777779</v>
      </c>
      <c r="E3" s="2"/>
      <c r="F3" s="1">
        <f>SUMIF($C$8:$C$9984,$C8,F$8:F$9984)</f>
        <v>1.1944444444444444</v>
      </c>
      <c r="G3" s="3"/>
      <c r="H3" s="1">
        <f>SUMIF($C$8:$C$9984,$C8,H$8:H$9984)</f>
        <v>0.79513888888888906</v>
      </c>
      <c r="I3" s="3"/>
      <c r="J3" s="1">
        <f>SUMIF($C$8:$C$9984,$C8,J$8:J$9984)</f>
        <v>0.70138888888888895</v>
      </c>
      <c r="K3" s="3"/>
    </row>
    <row r="4" spans="1:12" ht="17.25" thickBot="1" x14ac:dyDescent="0.3">
      <c r="A4" s="37" t="str">
        <f>Base!C4</f>
        <v>Da Silva</v>
      </c>
      <c r="B4" s="38">
        <f ca="1">SUM(D4:K4)</f>
        <v>2.7847222222222223</v>
      </c>
      <c r="D4" s="4">
        <f ca="1">SUMIF($C$8:$C$9984,$C9,D$8:D$63)</f>
        <v>1.0590277777777777</v>
      </c>
      <c r="E4" s="2"/>
      <c r="F4" s="4">
        <f>SUMIF($C$8:$C$9984,$C9,F$8:F$9984)</f>
        <v>1.1944444444444446</v>
      </c>
      <c r="G4" s="3"/>
      <c r="H4" s="4">
        <f>SUMIF($C$8:$C$9984,$C9,H$8:H$9984)</f>
        <v>0.53125</v>
      </c>
      <c r="I4" s="3"/>
      <c r="J4" s="4">
        <f>SUMIF($C$8:$C$9984,$C9,J$8:J$9984)</f>
        <v>0</v>
      </c>
      <c r="K4" s="3"/>
    </row>
    <row r="5" spans="1:12" ht="17.25" thickBot="1" x14ac:dyDescent="0.3">
      <c r="A5" s="26"/>
      <c r="B5" s="26"/>
      <c r="C5" s="39" t="s">
        <v>62</v>
      </c>
      <c r="D5" s="5">
        <v>1</v>
      </c>
      <c r="E5" s="6"/>
      <c r="F5" s="5">
        <v>2</v>
      </c>
      <c r="G5" s="6"/>
      <c r="H5" s="5">
        <v>3</v>
      </c>
      <c r="I5" s="6"/>
      <c r="J5" s="15">
        <v>4</v>
      </c>
      <c r="K5" s="6"/>
    </row>
    <row r="6" spans="1:12" ht="20.25" x14ac:dyDescent="0.25">
      <c r="A6" s="8" t="str">
        <f>Base!F4</f>
        <v>1 Analyse</v>
      </c>
      <c r="B6" s="40"/>
      <c r="C6" s="40"/>
      <c r="D6" s="41"/>
      <c r="E6" s="41"/>
      <c r="F6" s="41"/>
      <c r="G6" s="41"/>
      <c r="H6" s="41"/>
      <c r="I6" s="41"/>
      <c r="J6" s="41"/>
      <c r="K6" s="41"/>
      <c r="L6" s="42">
        <f>SUMIF($C8:$C23,$C8,L8:L23)</f>
        <v>0.75</v>
      </c>
    </row>
    <row r="7" spans="1:12" ht="21" thickBot="1" x14ac:dyDescent="0.3">
      <c r="A7" s="43"/>
      <c r="B7" s="44"/>
      <c r="C7" s="44"/>
      <c r="D7" s="45"/>
      <c r="E7" s="45"/>
      <c r="F7" s="45"/>
      <c r="G7" s="45"/>
      <c r="H7" s="45"/>
      <c r="I7" s="45"/>
      <c r="J7" s="45"/>
      <c r="K7" s="45"/>
      <c r="L7" s="46">
        <f>SUMIF($C8:$C23,$C9,L8:L23)</f>
        <v>0.72569444444444442</v>
      </c>
    </row>
    <row r="8" spans="1:12" x14ac:dyDescent="0.25">
      <c r="B8" s="103" t="str">
        <f>Base!G4</f>
        <v>1.1 - Lecture du cahier des charges</v>
      </c>
      <c r="C8" s="47" t="str">
        <f>A$3</f>
        <v>Prévu</v>
      </c>
      <c r="D8" s="71">
        <v>2.0833333333333332E-2</v>
      </c>
      <c r="E8" s="48"/>
      <c r="F8" s="71"/>
      <c r="G8" s="48"/>
      <c r="H8" s="71"/>
      <c r="I8" s="49"/>
      <c r="J8" s="72"/>
      <c r="K8" s="49"/>
      <c r="L8" s="50">
        <f t="shared" ref="L8:L23" si="0">IF(SUM(D8:K8)=0,"",SUM(D8:K8))</f>
        <v>2.0833333333333332E-2</v>
      </c>
    </row>
    <row r="9" spans="1:12" ht="17.25" thickBot="1" x14ac:dyDescent="0.3">
      <c r="B9" s="104"/>
      <c r="C9" s="51" t="str">
        <f>A$4</f>
        <v>Da Silva</v>
      </c>
      <c r="D9" s="52">
        <f>SUMIFS(Journal!$D$4:$D$9363,Journal!$B$4:$B$9363,D$5,Journal!$C$4:$C$9363,$B8)</f>
        <v>2.0833333333333332E-2</v>
      </c>
      <c r="E9" s="52"/>
      <c r="F9" s="52">
        <f>SUMIFS(Journal!$D$4:$D$9363,Journal!$B$4:$B$9363,F$5,Journal!$C$4:$C$9363,$B8)</f>
        <v>0</v>
      </c>
      <c r="G9" s="53"/>
      <c r="H9" s="52">
        <f>SUMIFS(Journal!$D$4:$D$9363,Journal!$B$4:$B$9363,H$5,Journal!$C$4:$C$9363,$B8)</f>
        <v>0</v>
      </c>
      <c r="I9" s="52"/>
      <c r="J9" s="52">
        <f>SUMIFS(Journal!$D$4:$D$9363,Journal!$B$4:$B$9363,J$5,Journal!$C$4:$C$9363,$B8)</f>
        <v>0</v>
      </c>
      <c r="K9" s="53"/>
      <c r="L9" s="55">
        <f t="shared" si="0"/>
        <v>2.0833333333333332E-2</v>
      </c>
    </row>
    <row r="10" spans="1:12" x14ac:dyDescent="0.25">
      <c r="B10" s="103" t="str">
        <f>Base!G5</f>
        <v>1.2 - Recherches</v>
      </c>
      <c r="C10" s="47" t="str">
        <f>A$3</f>
        <v>Prévu</v>
      </c>
      <c r="D10" s="71"/>
      <c r="E10" s="48"/>
      <c r="F10" s="71">
        <v>2.7777777777777776E-2</v>
      </c>
      <c r="G10" s="48"/>
      <c r="H10" s="71">
        <v>2.7777777777777776E-2</v>
      </c>
      <c r="I10" s="49"/>
      <c r="J10" s="72"/>
      <c r="K10" s="49"/>
      <c r="L10" s="50">
        <f t="shared" si="0"/>
        <v>5.5555555555555552E-2</v>
      </c>
    </row>
    <row r="11" spans="1:12" ht="17.25" thickBot="1" x14ac:dyDescent="0.3">
      <c r="B11" s="104"/>
      <c r="C11" s="51" t="str">
        <f>A$4</f>
        <v>Da Silva</v>
      </c>
      <c r="D11" s="52">
        <f>SUMIFS(Journal!$D$4:$D$9363,Journal!$B$4:$B$9363,D$5,Journal!$C$4:$C$9363,$B10)</f>
        <v>0</v>
      </c>
      <c r="E11" s="53"/>
      <c r="F11" s="52">
        <f>SUMIFS(Journal!$D$4:$D$9363,Journal!$B$4:$B$9363,F$5,Journal!$C$4:$C$9363,$B10)</f>
        <v>4.1666666666666664E-2</v>
      </c>
      <c r="G11" s="53"/>
      <c r="H11" s="52">
        <f>SUMIFS(Journal!$D$4:$D$9363,Journal!$B$4:$B$9363,H$5,Journal!$C$4:$C$9363,$B10)</f>
        <v>1.3888888888888888E-2</v>
      </c>
      <c r="I11" s="54"/>
      <c r="J11" s="52">
        <f>SUMIFS(Journal!$D$4:$D$9363,Journal!$B$4:$B$9363,J$5,Journal!$C$4:$C$9363,$B10)</f>
        <v>0</v>
      </c>
      <c r="K11" s="54"/>
      <c r="L11" s="55">
        <f t="shared" si="0"/>
        <v>5.5555555555555552E-2</v>
      </c>
    </row>
    <row r="12" spans="1:12" x14ac:dyDescent="0.25">
      <c r="B12" s="103" t="str">
        <f>Base!G6</f>
        <v>1.3 - Planification</v>
      </c>
      <c r="C12" s="47" t="str">
        <f>A$3</f>
        <v>Prévu</v>
      </c>
      <c r="D12" s="71">
        <v>0.1423611111111111</v>
      </c>
      <c r="E12" s="48"/>
      <c r="F12" s="71"/>
      <c r="G12" s="48"/>
      <c r="H12" s="71"/>
      <c r="I12" s="49"/>
      <c r="J12" s="72"/>
      <c r="K12" s="49"/>
      <c r="L12" s="50">
        <f t="shared" si="0"/>
        <v>0.1423611111111111</v>
      </c>
    </row>
    <row r="13" spans="1:12" ht="17.25" thickBot="1" x14ac:dyDescent="0.3">
      <c r="B13" s="104"/>
      <c r="C13" s="51" t="str">
        <f>A$4</f>
        <v>Da Silva</v>
      </c>
      <c r="D13" s="52">
        <f>SUMIFS(Journal!$D$4:$D$9363,Journal!$B$4:$B$9363,D$5,Journal!$C$4:$C$9363,$B12)</f>
        <v>0.14930555555555555</v>
      </c>
      <c r="E13" s="53"/>
      <c r="F13" s="52">
        <f>SUMIFS(Journal!$D$4:$D$9363,Journal!$B$4:$B$9363,F$5,Journal!$C$4:$C$9363,$B12)</f>
        <v>2.7777777777777776E-2</v>
      </c>
      <c r="G13" s="53"/>
      <c r="H13" s="52">
        <f>SUMIFS(Journal!$D$4:$D$9363,Journal!$B$4:$B$9363,H$5,Journal!$C$4:$C$9363,$B12)</f>
        <v>1.7361111111111112E-2</v>
      </c>
      <c r="I13" s="54"/>
      <c r="J13" s="52">
        <f>SUMIFS(Journal!$D$4:$D$9363,Journal!$B$4:$B$9363,J$5,Journal!$C$4:$C$9363,$B12)</f>
        <v>0</v>
      </c>
      <c r="K13" s="54"/>
      <c r="L13" s="55">
        <f t="shared" si="0"/>
        <v>0.19444444444444442</v>
      </c>
    </row>
    <row r="14" spans="1:12" x14ac:dyDescent="0.25">
      <c r="B14" s="103" t="str">
        <f>Base!G7</f>
        <v>1.4 - Maquettes</v>
      </c>
      <c r="C14" s="47" t="str">
        <f>A$3</f>
        <v>Prévu</v>
      </c>
      <c r="D14" s="71">
        <v>0.19444444444444445</v>
      </c>
      <c r="E14" s="48"/>
      <c r="F14" s="71"/>
      <c r="G14" s="48"/>
      <c r="H14" s="71"/>
      <c r="I14" s="49"/>
      <c r="J14" s="72"/>
      <c r="K14" s="49"/>
      <c r="L14" s="50">
        <f t="shared" si="0"/>
        <v>0.19444444444444445</v>
      </c>
    </row>
    <row r="15" spans="1:12" ht="17.25" thickBot="1" x14ac:dyDescent="0.3">
      <c r="B15" s="104"/>
      <c r="C15" s="51" t="str">
        <f>A$4</f>
        <v>Da Silva</v>
      </c>
      <c r="D15" s="52">
        <f>SUMIFS(Journal!$D$4:$D$9363,Journal!$B$4:$B$9363,D$5,Journal!$C$4:$C$9363,$B14)</f>
        <v>8.6805555555555552E-2</v>
      </c>
      <c r="E15" s="53"/>
      <c r="F15" s="52">
        <f>SUMIFS(Journal!$D$4:$D$9363,Journal!$B$4:$B$9363,F$5,Journal!$C$4:$C$9363,$B14)</f>
        <v>0</v>
      </c>
      <c r="G15" s="53"/>
      <c r="H15" s="52">
        <f>SUMIFS(Journal!$D$4:$D$9363,Journal!$B$4:$B$9363,H$5,Journal!$C$4:$C$9363,$B14)</f>
        <v>0</v>
      </c>
      <c r="I15" s="53"/>
      <c r="J15" s="52">
        <f>SUMIFS(Journal!$D$4:$D$9363,Journal!$B$4:$B$9363,J$5,Journal!$C$4:$C$9363,$B14)</f>
        <v>0</v>
      </c>
      <c r="K15" s="53"/>
      <c r="L15" s="55">
        <f t="shared" si="0"/>
        <v>8.6805555555555552E-2</v>
      </c>
    </row>
    <row r="16" spans="1:12" ht="16.5" customHeight="1" x14ac:dyDescent="0.25">
      <c r="B16" s="103" t="str">
        <f>Base!G8</f>
        <v>1.5 - Diagrammes</v>
      </c>
      <c r="C16" s="47" t="str">
        <f>A$3</f>
        <v>Prévu</v>
      </c>
      <c r="D16" s="71">
        <v>0.14583333333333334</v>
      </c>
      <c r="E16" s="48"/>
      <c r="F16" s="71"/>
      <c r="G16" s="48"/>
      <c r="H16" s="71"/>
      <c r="I16" s="49"/>
      <c r="J16" s="72"/>
      <c r="K16" s="49"/>
      <c r="L16" s="50">
        <f t="shared" si="0"/>
        <v>0.14583333333333334</v>
      </c>
    </row>
    <row r="17" spans="1:12" ht="17.25" thickBot="1" x14ac:dyDescent="0.3">
      <c r="B17" s="104"/>
      <c r="C17" s="51" t="str">
        <f>A$4</f>
        <v>Da Silva</v>
      </c>
      <c r="D17" s="52">
        <f>SUMIFS(Journal!$D$4:$D$9363,Journal!$B$4:$B$9363,D$5,Journal!$C$4:$C$9363,$B16)</f>
        <v>0.1111111111111111</v>
      </c>
      <c r="E17" s="53"/>
      <c r="F17" s="52">
        <f>SUMIFS(Journal!$D$4:$D$9363,Journal!$B$4:$B$9363,F$5,Journal!$C$4:$C$9363,$B16)</f>
        <v>0</v>
      </c>
      <c r="G17" s="53"/>
      <c r="H17" s="52">
        <f>SUMIFS(Journal!$D$4:$D$9363,Journal!$B$4:$B$9363,H$5,Journal!$C$4:$C$9363,$B16)</f>
        <v>0</v>
      </c>
      <c r="I17" s="54"/>
      <c r="J17" s="52">
        <f>SUMIFS(Journal!$D$4:$D$9363,Journal!$B$4:$B$9363,J$5,Journal!$C$4:$C$9363,$B16)</f>
        <v>0</v>
      </c>
      <c r="K17" s="54"/>
      <c r="L17" s="55">
        <f t="shared" si="0"/>
        <v>0.1111111111111111</v>
      </c>
    </row>
    <row r="18" spans="1:12" ht="16.5" customHeight="1" x14ac:dyDescent="0.25">
      <c r="B18" s="103" t="str">
        <f>Base!G9</f>
        <v>1.6 - MCD/MLD</v>
      </c>
      <c r="C18" s="47" t="str">
        <f>A$3</f>
        <v>Prévu</v>
      </c>
      <c r="D18" s="71">
        <v>0.14583333333333334</v>
      </c>
      <c r="E18" s="48"/>
      <c r="F18" s="71"/>
      <c r="G18" s="48"/>
      <c r="H18" s="71"/>
      <c r="I18" s="49"/>
      <c r="J18" s="72"/>
      <c r="K18" s="49"/>
      <c r="L18" s="50">
        <f t="shared" si="0"/>
        <v>0.14583333333333334</v>
      </c>
    </row>
    <row r="19" spans="1:12" ht="17.25" thickBot="1" x14ac:dyDescent="0.3">
      <c r="B19" s="104"/>
      <c r="C19" s="51" t="str">
        <f>A$4</f>
        <v>Da Silva</v>
      </c>
      <c r="D19" s="52">
        <f>SUMIFS(Journal!$D$4:$D$9363,Journal!$B$4:$B$9363,D$5,Journal!$C$4:$C$9363,$B18)</f>
        <v>0.15277777777777776</v>
      </c>
      <c r="E19" s="53"/>
      <c r="F19" s="52">
        <f>SUMIFS(Journal!$D$4:$D$9363,Journal!$B$4:$B$9363,F$5,Journal!$C$4:$C$9363,$B18)</f>
        <v>0</v>
      </c>
      <c r="G19" s="53"/>
      <c r="H19" s="52">
        <f>SUMIFS(Journal!$D$4:$D$9363,Journal!$B$4:$B$9363,H$5,Journal!$C$4:$C$9363,$B18)</f>
        <v>0</v>
      </c>
      <c r="I19" s="54"/>
      <c r="J19" s="52">
        <f>SUMIFS(Journal!$D$4:$D$9363,Journal!$B$4:$B$9363,J$5,Journal!$C$4:$C$9363,$B18)</f>
        <v>0</v>
      </c>
      <c r="K19" s="54"/>
      <c r="L19" s="55">
        <f t="shared" si="0"/>
        <v>0.15277777777777776</v>
      </c>
    </row>
    <row r="20" spans="1:12" ht="16.5" customHeight="1" x14ac:dyDescent="0.25">
      <c r="B20" s="103" t="str">
        <f>Base!G10</f>
        <v>1.7 - Daily meeting</v>
      </c>
      <c r="C20" s="47" t="str">
        <f>A$3</f>
        <v>Prévu</v>
      </c>
      <c r="D20" s="71"/>
      <c r="E20" s="48"/>
      <c r="F20" s="71"/>
      <c r="G20" s="48"/>
      <c r="H20" s="71"/>
      <c r="I20" s="49"/>
      <c r="J20" s="72"/>
      <c r="K20" s="49"/>
      <c r="L20" s="50" t="str">
        <f t="shared" si="0"/>
        <v/>
      </c>
    </row>
    <row r="21" spans="1:12" ht="17.25" thickBot="1" x14ac:dyDescent="0.3">
      <c r="B21" s="104"/>
      <c r="C21" s="51" t="str">
        <f>A$4</f>
        <v>Da Silva</v>
      </c>
      <c r="D21" s="52">
        <f>SUMIFS(Journal!$D$4:$D$9363,Journal!$B$4:$B$9363,D$5,Journal!$C$4:$C$9363,$B20)</f>
        <v>2.0833333333333332E-2</v>
      </c>
      <c r="E21" s="53"/>
      <c r="F21" s="52">
        <f>SUMIFS(Journal!$D$4:$D$9363,Journal!$B$4:$B$9363,F$5,Journal!$C$4:$C$9363,$B20)</f>
        <v>3.4722222222222224E-2</v>
      </c>
      <c r="G21" s="53"/>
      <c r="H21" s="52">
        <f>SUMIFS(Journal!$D$4:$D$9363,Journal!$B$4:$B$9363,H$5,Journal!$C$4:$C$9363,$B20)</f>
        <v>0</v>
      </c>
      <c r="I21" s="53"/>
      <c r="J21" s="52">
        <f>SUMIFS(Journal!$D$4:$D$9363,Journal!$B$4:$B$9363,J$5,Journal!$C$4:$C$9363,$B20)</f>
        <v>0</v>
      </c>
      <c r="K21" s="53"/>
      <c r="L21" s="55">
        <f t="shared" si="0"/>
        <v>5.5555555555555552E-2</v>
      </c>
    </row>
    <row r="22" spans="1:12" x14ac:dyDescent="0.25">
      <c r="B22" s="103" t="str">
        <f>Base!G11</f>
        <v>1.8 - Sprint review</v>
      </c>
      <c r="C22" s="47" t="str">
        <f>A$3</f>
        <v>Prévu</v>
      </c>
      <c r="D22" s="71">
        <v>1.3888888888888888E-2</v>
      </c>
      <c r="E22" s="48"/>
      <c r="F22" s="71">
        <v>1.7361111111111112E-2</v>
      </c>
      <c r="G22" s="48"/>
      <c r="H22" s="71">
        <v>1.3888888888888888E-2</v>
      </c>
      <c r="I22" s="49"/>
      <c r="J22" s="72"/>
      <c r="K22" s="49"/>
      <c r="L22" s="50">
        <f t="shared" si="0"/>
        <v>4.5138888888888888E-2</v>
      </c>
    </row>
    <row r="23" spans="1:12" ht="17.25" thickBot="1" x14ac:dyDescent="0.3">
      <c r="B23" s="104"/>
      <c r="C23" s="51" t="str">
        <f>A$4</f>
        <v>Da Silva</v>
      </c>
      <c r="D23" s="52">
        <f>SUMIFS(Journal!$D$4:$D$9363,Journal!$B$4:$B$9363,D$5,Journal!$C$4:$C$9363,$B22)</f>
        <v>1.3888888888888888E-2</v>
      </c>
      <c r="E23" s="53"/>
      <c r="F23" s="52">
        <f>SUMIFS(Journal!$D$7:$D$9320,Journal!$B$7:$B$9320,F$5,Journal!$C$7:$C$9320,$B22)</f>
        <v>3.4722222222222224E-2</v>
      </c>
      <c r="G23" s="53"/>
      <c r="H23" s="52">
        <f>SUMIFS(Journal!$D$7:$D$9320,Journal!$B$7:$B$9320,H$5,Journal!$C$7:$C$9320,$B22)</f>
        <v>0</v>
      </c>
      <c r="I23" s="53"/>
      <c r="J23" s="52">
        <f>SUMIFS(Journal!$D$7:$D$9320,Journal!$B$7:$B$9320,J$5,Journal!$C$7:$C$9320,$B22)</f>
        <v>0</v>
      </c>
      <c r="K23" s="53"/>
      <c r="L23" s="55">
        <f t="shared" si="0"/>
        <v>4.8611111111111112E-2</v>
      </c>
    </row>
    <row r="24" spans="1:12" ht="20.25" x14ac:dyDescent="0.25">
      <c r="A24" s="7" t="str">
        <f>Base!F12</f>
        <v xml:space="preserve">2 Implémentation </v>
      </c>
      <c r="B24" s="56"/>
      <c r="C24" s="56"/>
      <c r="D24" s="57"/>
      <c r="E24" s="57"/>
      <c r="F24" s="57"/>
      <c r="G24" s="57"/>
      <c r="H24" s="57"/>
      <c r="I24" s="57"/>
      <c r="J24" s="57"/>
      <c r="K24" s="57"/>
      <c r="L24" s="42">
        <f>SUMIF($C26:$C49,$C26,L26:L49)</f>
        <v>1.6875000000000002</v>
      </c>
    </row>
    <row r="25" spans="1:12" ht="21" thickBot="1" x14ac:dyDescent="0.3">
      <c r="A25" s="58"/>
      <c r="B25" s="59"/>
      <c r="C25" s="59"/>
      <c r="D25" s="60"/>
      <c r="E25" s="60"/>
      <c r="F25" s="60"/>
      <c r="G25" s="60"/>
      <c r="H25" s="60"/>
      <c r="I25" s="60"/>
      <c r="J25" s="60"/>
      <c r="K25" s="60"/>
      <c r="L25" s="46">
        <f>SUMIF($C26:$C49,$C27,L26:L49)</f>
        <v>1.2569444444444444</v>
      </c>
    </row>
    <row r="26" spans="1:12" ht="19.5" customHeight="1" x14ac:dyDescent="0.25">
      <c r="B26" s="103" t="str">
        <f>Base!G12</f>
        <v>2.1 - Mise en place de l'environnement</v>
      </c>
      <c r="C26" s="47" t="str">
        <f>A$3</f>
        <v>Prévu</v>
      </c>
      <c r="D26" s="71">
        <v>0.14583333333333334</v>
      </c>
      <c r="E26" s="48"/>
      <c r="F26" s="71"/>
      <c r="G26" s="48"/>
      <c r="H26" s="71"/>
      <c r="I26" s="49"/>
      <c r="J26" s="72"/>
      <c r="K26" s="49"/>
      <c r="L26" s="50">
        <f t="shared" ref="L26:L33" si="1">IF(SUM(D26:K26)=0,"",SUM(D26:K26))</f>
        <v>0.14583333333333334</v>
      </c>
    </row>
    <row r="27" spans="1:12" ht="17.25" thickBot="1" x14ac:dyDescent="0.3">
      <c r="B27" s="104"/>
      <c r="C27" s="51" t="str">
        <f>A$4</f>
        <v>Da Silva</v>
      </c>
      <c r="D27" s="52">
        <f>SUMIFS(Journal!$D$4:$D$9363,Journal!$B$4:$B$9363,D$5,Journal!$C$4:$C$9363,$B26)</f>
        <v>0.10416666666666666</v>
      </c>
      <c r="E27" s="53"/>
      <c r="F27" s="52">
        <f>SUMIFS(Journal!$D$4:$D$9363,Journal!$B$4:$B$9363,F$5,Journal!$C$4:$C$9363,$B26)</f>
        <v>0</v>
      </c>
      <c r="G27" s="53"/>
      <c r="H27" s="52">
        <f>SUMIFS(Journal!$D$4:$D$9363,Journal!$B$4:$B$9363,H$5,Journal!$C$4:$C$9363,$B26)</f>
        <v>0</v>
      </c>
      <c r="I27" s="54"/>
      <c r="J27" s="52">
        <f>SUMIFS(Journal!$D$4:$D$9363,Journal!$B$4:$B$9363,J$5,Journal!$C$4:$C$9363,$B26)</f>
        <v>0</v>
      </c>
      <c r="K27" s="54"/>
      <c r="L27" s="55">
        <f t="shared" si="1"/>
        <v>0.10416666666666666</v>
      </c>
    </row>
    <row r="28" spans="1:12" ht="15.75" customHeight="1" x14ac:dyDescent="0.25">
      <c r="B28" s="103" t="str">
        <f>Base!G13</f>
        <v>2.2 - Base de données</v>
      </c>
      <c r="C28" s="47" t="str">
        <f>A$3</f>
        <v>Prévu</v>
      </c>
      <c r="D28" s="71">
        <v>0.125</v>
      </c>
      <c r="E28" s="48"/>
      <c r="F28" s="71"/>
      <c r="G28" s="48"/>
      <c r="H28" s="71"/>
      <c r="I28" s="49"/>
      <c r="J28" s="71"/>
      <c r="K28" s="49"/>
      <c r="L28" s="50">
        <f t="shared" si="1"/>
        <v>0.125</v>
      </c>
    </row>
    <row r="29" spans="1:12" ht="17.25" thickBot="1" x14ac:dyDescent="0.3">
      <c r="B29" s="104"/>
      <c r="C29" s="51" t="str">
        <f>A$4</f>
        <v>Da Silva</v>
      </c>
      <c r="D29" s="52">
        <f>SUMIFS(Journal!$D$4:$D$9363,Journal!$B$4:$B$9363,D$5,Journal!$C$4:$C$9363,$B28)</f>
        <v>0.15277777777777779</v>
      </c>
      <c r="E29" s="53"/>
      <c r="F29" s="52">
        <f>SUMIFS(Journal!$D$4:$D$9363,Journal!$B$4:$B$9363,F$5,Journal!$C$4:$C$9363,$B28)</f>
        <v>0</v>
      </c>
      <c r="G29" s="53"/>
      <c r="H29" s="52">
        <f>SUMIFS(Journal!$D$4:$D$9363,Journal!$B$4:$B$9363,H$5,Journal!$C$4:$C$9363,$B28)</f>
        <v>0</v>
      </c>
      <c r="I29" s="53"/>
      <c r="J29" s="52">
        <f>SUMIFS(Journal!$D$4:$D$9363,Journal!$B$4:$B$9363,J$5,Journal!$C$4:$C$9363,$B28)</f>
        <v>0</v>
      </c>
      <c r="K29" s="53"/>
      <c r="L29" s="55">
        <f t="shared" si="1"/>
        <v>0.15277777777777779</v>
      </c>
    </row>
    <row r="30" spans="1:12" ht="16.5" customHeight="1" x14ac:dyDescent="0.25">
      <c r="B30" s="103" t="str">
        <f>Base!G14</f>
        <v>2.3 - Login/Register</v>
      </c>
      <c r="C30" s="47" t="str">
        <f>A$3</f>
        <v>Prévu</v>
      </c>
      <c r="D30" s="71"/>
      <c r="E30" s="48"/>
      <c r="F30" s="71">
        <v>0.16666666666666666</v>
      </c>
      <c r="G30" s="48"/>
      <c r="I30" s="49"/>
      <c r="J30" s="71"/>
      <c r="K30" s="49"/>
      <c r="L30" s="50">
        <f t="shared" si="1"/>
        <v>0.16666666666666666</v>
      </c>
    </row>
    <row r="31" spans="1:12" ht="17.25" thickBot="1" x14ac:dyDescent="0.3">
      <c r="B31" s="104"/>
      <c r="C31" s="51" t="str">
        <f>A$4</f>
        <v>Da Silva</v>
      </c>
      <c r="D31" s="52">
        <f>SUMIFS(Journal!$D$4:$D$9363,Journal!$B$4:$B$9363,D$5,Journal!$C$4:$C$9363,$B30)</f>
        <v>0</v>
      </c>
      <c r="E31" s="53"/>
      <c r="F31" s="52">
        <f>SUMIFS(Journal!$D$4:$D$9363,Journal!$B$4:$B$9363,F$5,Journal!$C$4:$C$9363,$B30)</f>
        <v>5.2083333333333336E-2</v>
      </c>
      <c r="G31" s="53"/>
      <c r="H31" s="52">
        <f>SUMIFS(Journal!$D$4:$D$9363,Journal!$B$4:$B$9363,H$5,Journal!$C$4:$C$9363,$B30)</f>
        <v>0</v>
      </c>
      <c r="I31" s="54"/>
      <c r="J31" s="52">
        <f>SUMIFS(Journal!$D$4:$D$9363,Journal!$B$4:$B$9363,J$5,Journal!$C$4:$C$9363,$B30)</f>
        <v>0</v>
      </c>
      <c r="K31" s="54"/>
      <c r="L31" s="55">
        <f t="shared" si="1"/>
        <v>5.2083333333333336E-2</v>
      </c>
    </row>
    <row r="32" spans="1:12" ht="16.5" customHeight="1" x14ac:dyDescent="0.25">
      <c r="B32" s="103" t="str">
        <f>Base!G15</f>
        <v>2.4 - Visualisation des véhicules en ventes</v>
      </c>
      <c r="C32" s="47" t="str">
        <f>A$3</f>
        <v>Prévu</v>
      </c>
      <c r="D32" s="71"/>
      <c r="E32" s="48"/>
      <c r="F32" s="71">
        <v>0.20833333333333334</v>
      </c>
      <c r="G32" s="48"/>
      <c r="H32" s="71"/>
      <c r="I32" s="49"/>
      <c r="J32" s="72"/>
      <c r="K32" s="49"/>
      <c r="L32" s="50">
        <f t="shared" si="1"/>
        <v>0.20833333333333334</v>
      </c>
    </row>
    <row r="33" spans="2:12" ht="17.25" thickBot="1" x14ac:dyDescent="0.3">
      <c r="B33" s="104"/>
      <c r="C33" s="51" t="str">
        <f>A$4</f>
        <v>Da Silva</v>
      </c>
      <c r="D33" s="52">
        <f>SUMIFS(Journal!$D$4:$D$9363,Journal!$B$4:$B$9363,D$5,Journal!$C$4:$C$9363,$B32)</f>
        <v>0</v>
      </c>
      <c r="E33" s="53"/>
      <c r="F33" s="52">
        <f>SUMIFS(Journal!$D$4:$D$9363,Journal!$B$4:$B$9363,F$5,Journal!$C$4:$C$9363,$B32)</f>
        <v>0.2013888888888889</v>
      </c>
      <c r="G33" s="53"/>
      <c r="H33" s="52">
        <f>SUMIFS(Journal!$D$4:$D$9363,Journal!$B$4:$B$9363,H$5,Journal!$C$4:$C$9363,$B32)</f>
        <v>0</v>
      </c>
      <c r="I33" s="54"/>
      <c r="J33" s="52">
        <f>SUMIFS(Journal!$D$4:$D$9363,Journal!$B$4:$B$9363,J$5,Journal!$C$4:$C$9363,$B32)</f>
        <v>0</v>
      </c>
      <c r="K33" s="54"/>
      <c r="L33" s="55">
        <f t="shared" si="1"/>
        <v>0.2013888888888889</v>
      </c>
    </row>
    <row r="34" spans="2:12" ht="19.5" customHeight="1" x14ac:dyDescent="0.25">
      <c r="B34" s="103" t="str">
        <f>Base!G16</f>
        <v>2.5 - Rechercher des véhicules selon filtres</v>
      </c>
      <c r="C34" s="47" t="str">
        <f>A$3</f>
        <v>Prévu</v>
      </c>
      <c r="D34" s="71"/>
      <c r="E34" s="48"/>
      <c r="F34" s="71">
        <v>0.16666666666666666</v>
      </c>
      <c r="G34" s="48"/>
      <c r="H34" s="71"/>
      <c r="I34" s="49"/>
      <c r="J34" s="72"/>
      <c r="K34" s="49"/>
      <c r="L34" s="50">
        <f>IF(SUM(E34:K34)=0,"",SUM(E34:K34))</f>
        <v>0.16666666666666666</v>
      </c>
    </row>
    <row r="35" spans="2:12" ht="17.25" thickBot="1" x14ac:dyDescent="0.3">
      <c r="B35" s="104"/>
      <c r="C35" s="51" t="str">
        <f>A$4</f>
        <v>Da Silva</v>
      </c>
      <c r="D35" s="52">
        <f>SUMIFS(Journal!$D$4:$D$9363,Journal!$B$4:$B$9363,D$5,Journal!$C$4:$C$9363,$B34)</f>
        <v>0</v>
      </c>
      <c r="E35" s="53"/>
      <c r="F35" s="52">
        <f>SUMIFS(Journal!$D$4:$D$9363,Journal!$B$4:$B$9363,F$5,Journal!$C$4:$C$9363,$B34)</f>
        <v>0.21875</v>
      </c>
      <c r="G35" s="53"/>
      <c r="H35" s="52">
        <f>SUMIFS(Journal!$D$4:$D$9363,Journal!$B$4:$B$9363,H$5,Journal!$C$4:$C$9363,$B34)</f>
        <v>0</v>
      </c>
      <c r="I35" s="54"/>
      <c r="J35" s="52">
        <f>SUMIFS(Journal!$D$4:$D$9363,Journal!$B$4:$B$9363,J$5,Journal!$C$4:$C$9363,$B34)</f>
        <v>0</v>
      </c>
      <c r="K35" s="54"/>
      <c r="L35" s="55">
        <f t="shared" ref="L35:L41" si="2">IF(SUM(D35:K35)=0,"",SUM(D35:K35))</f>
        <v>0.21875</v>
      </c>
    </row>
    <row r="36" spans="2:12" ht="15.75" customHeight="1" x14ac:dyDescent="0.25">
      <c r="B36" s="103" t="str">
        <f>Base!G17</f>
        <v>2.6 - Mettre en vente un véhicule</v>
      </c>
      <c r="C36" s="47" t="str">
        <f>A$3</f>
        <v>Prévu</v>
      </c>
      <c r="D36" s="71"/>
      <c r="E36" s="48"/>
      <c r="F36" s="71">
        <v>0.16666666666666666</v>
      </c>
      <c r="G36" s="48"/>
      <c r="H36" s="71"/>
      <c r="I36" s="49"/>
      <c r="J36" s="71"/>
      <c r="K36" s="49"/>
      <c r="L36" s="50">
        <f t="shared" si="2"/>
        <v>0.16666666666666666</v>
      </c>
    </row>
    <row r="37" spans="2:12" ht="17.25" thickBot="1" x14ac:dyDescent="0.3">
      <c r="B37" s="104"/>
      <c r="C37" s="51" t="str">
        <f>A$4</f>
        <v>Da Silva</v>
      </c>
      <c r="D37" s="52">
        <f>SUMIFS(Journal!$D$4:$D$9363,Journal!$B$4:$B$9363,D$5,Journal!$C$4:$C$9363,$B36)</f>
        <v>0</v>
      </c>
      <c r="E37" s="53"/>
      <c r="F37" s="52">
        <f>SUMIFS(Journal!$D$4:$D$9363,Journal!$B$4:$B$9363,F$5,Journal!$C$4:$C$9363,$B36)</f>
        <v>0.16666666666666669</v>
      </c>
      <c r="G37" s="53"/>
      <c r="H37" s="52">
        <f>SUMIFS(Journal!$D$4:$D$9363,Journal!$B$4:$B$9363,H$5,Journal!$C$4:$C$9363,$B36)</f>
        <v>0</v>
      </c>
      <c r="I37" s="53"/>
      <c r="J37" s="52">
        <f>SUMIFS(Journal!$D$4:$D$9363,Journal!$B$4:$B$9363,J$5,Journal!$C$4:$C$9363,$B36)</f>
        <v>0</v>
      </c>
      <c r="K37" s="53"/>
      <c r="L37" s="55">
        <f t="shared" si="2"/>
        <v>0.16666666666666669</v>
      </c>
    </row>
    <row r="38" spans="2:12" x14ac:dyDescent="0.25">
      <c r="B38" s="103" t="str">
        <f>Base!G18</f>
        <v>2.7 - Modifier/Supprimer ses annonces</v>
      </c>
      <c r="C38" s="47" t="str">
        <f>A$3</f>
        <v>Prévu</v>
      </c>
      <c r="D38" s="71"/>
      <c r="E38" s="48"/>
      <c r="F38" s="71">
        <v>8.3333333333333329E-2</v>
      </c>
      <c r="G38" s="48"/>
      <c r="I38" s="49"/>
      <c r="J38" s="71"/>
      <c r="K38" s="49"/>
      <c r="L38" s="50">
        <f t="shared" si="2"/>
        <v>8.3333333333333329E-2</v>
      </c>
    </row>
    <row r="39" spans="2:12" ht="17.25" thickBot="1" x14ac:dyDescent="0.3">
      <c r="B39" s="104"/>
      <c r="C39" s="51" t="str">
        <f>A$4</f>
        <v>Da Silva</v>
      </c>
      <c r="D39" s="52">
        <f>SUMIFS(Journal!$D$4:$D$9363,Journal!$B$4:$B$9363,D$5,Journal!$C$4:$C$9363,$B38)</f>
        <v>0</v>
      </c>
      <c r="E39" s="53"/>
      <c r="F39" s="52">
        <f>SUMIFS(Journal!$D$4:$D$9363,Journal!$B$4:$B$9363,F$5,Journal!$C$4:$C$9363,$B38)</f>
        <v>8.3333333333333343E-2</v>
      </c>
      <c r="G39" s="53"/>
      <c r="H39" s="52">
        <f>SUMIFS(Journal!$D$4:$D$9363,Journal!$B$4:$B$9363,H$5,Journal!$C$4:$C$9363,$B38)</f>
        <v>0</v>
      </c>
      <c r="I39" s="54"/>
      <c r="J39" s="52">
        <f>SUMIFS(Journal!$D$4:$D$9363,Journal!$B$4:$B$9363,J$5,Journal!$C$4:$C$9363,$B38)</f>
        <v>0</v>
      </c>
      <c r="K39" s="54"/>
      <c r="L39" s="55">
        <f t="shared" si="2"/>
        <v>8.3333333333333343E-2</v>
      </c>
    </row>
    <row r="40" spans="2:12" ht="16.5" customHeight="1" x14ac:dyDescent="0.25">
      <c r="B40" s="103" t="str">
        <f>Base!G19</f>
        <v>2.8 - Acheter un véhicule</v>
      </c>
      <c r="C40" s="47" t="str">
        <f>A$3</f>
        <v>Prévu</v>
      </c>
      <c r="D40" s="71"/>
      <c r="E40" s="48"/>
      <c r="F40" s="71"/>
      <c r="G40" s="48"/>
      <c r="H40" s="71">
        <v>0.10416666666666667</v>
      </c>
      <c r="I40" s="49"/>
      <c r="J40" s="72"/>
      <c r="K40" s="49"/>
      <c r="L40" s="50">
        <f t="shared" si="2"/>
        <v>0.10416666666666667</v>
      </c>
    </row>
    <row r="41" spans="2:12" ht="17.25" thickBot="1" x14ac:dyDescent="0.3">
      <c r="B41" s="104"/>
      <c r="C41" s="51" t="str">
        <f>A$4</f>
        <v>Da Silva</v>
      </c>
      <c r="D41" s="52">
        <f>SUMIFS(Journal!$D$4:$D$9363,Journal!$B$4:$B$9363,D$5,Journal!$C$4:$C$9363,$B40)</f>
        <v>0</v>
      </c>
      <c r="E41" s="53"/>
      <c r="F41" s="52">
        <f>SUMIFS(Journal!$D$4:$D$9363,Journal!$B$4:$B$9363,F$5,Journal!$C$4:$C$9363,$B40)</f>
        <v>0</v>
      </c>
      <c r="G41" s="53"/>
      <c r="H41" s="52">
        <f>SUMIFS(Journal!$D$4:$D$9363,Journal!$B$4:$B$9363,H$5,Journal!$C$4:$C$9363,$B40)</f>
        <v>0.15277777777777779</v>
      </c>
      <c r="I41" s="54"/>
      <c r="J41" s="52">
        <f>SUMIFS(Journal!$D$4:$D$9363,Journal!$B$4:$B$9363,J$5,Journal!$C$4:$C$9363,$B40)</f>
        <v>0</v>
      </c>
      <c r="K41" s="54"/>
      <c r="L41" s="55">
        <f t="shared" si="2"/>
        <v>0.15277777777777779</v>
      </c>
    </row>
    <row r="42" spans="2:12" ht="19.5" customHeight="1" x14ac:dyDescent="0.25">
      <c r="B42" s="103" t="str">
        <f>Base!G20</f>
        <v>2.9 - Mettre en favoris</v>
      </c>
      <c r="C42" s="47" t="str">
        <f>A$3</f>
        <v>Prévu</v>
      </c>
      <c r="D42" s="71"/>
      <c r="E42" s="48"/>
      <c r="F42" s="71"/>
      <c r="G42" s="48"/>
      <c r="H42" s="71">
        <v>0.125</v>
      </c>
      <c r="I42" s="49"/>
      <c r="J42" s="72"/>
      <c r="K42" s="49"/>
      <c r="L42" s="50">
        <f>IF(SUM(E42:K42)=0,"",SUM(E42:K42))</f>
        <v>0.125</v>
      </c>
    </row>
    <row r="43" spans="2:12" x14ac:dyDescent="0.25">
      <c r="B43" s="104"/>
      <c r="C43" s="51" t="str">
        <f>A$4</f>
        <v>Da Silva</v>
      </c>
      <c r="D43" s="52">
        <f>SUMIFS(Journal!$D$4:$D$9363,Journal!$B$4:$B$9363,D$5,Journal!$C$4:$C$9363,$B42)</f>
        <v>0</v>
      </c>
      <c r="E43" s="53"/>
      <c r="F43" s="52">
        <f>SUMIFS(Journal!$D$4:$D$9363,Journal!$B$4:$B$9363,F$5,Journal!$C$4:$C$9363,$B42)</f>
        <v>0</v>
      </c>
      <c r="G43" s="53"/>
      <c r="H43" s="52">
        <f>SUMIFS(Journal!$D$4:$D$9363,Journal!$B$4:$B$9363,H$5,Journal!$C$4:$C$9363,$B42)</f>
        <v>8.3333333333333329E-2</v>
      </c>
      <c r="I43" s="54"/>
      <c r="J43" s="52">
        <f>SUMIFS(Journal!$D$4:$D$9363,Journal!$B$4:$B$9363,J$5,Journal!$C$4:$C$9363,$B42)</f>
        <v>0</v>
      </c>
      <c r="K43" s="54"/>
      <c r="L43" s="55">
        <f t="shared" ref="L43:L49" si="3">IF(SUM(D43:K43)=0,"",SUM(D43:K43))</f>
        <v>8.3333333333333329E-2</v>
      </c>
    </row>
    <row r="44" spans="2:12" ht="15.75" customHeight="1" x14ac:dyDescent="0.25">
      <c r="B44" s="103" t="str">
        <f>Base!G21</f>
        <v>2.10 - Historique des ventes/achats</v>
      </c>
      <c r="C44" s="47" t="str">
        <f>A$3</f>
        <v>Prévu</v>
      </c>
      <c r="D44" s="71"/>
      <c r="E44" s="48"/>
      <c r="F44" s="71"/>
      <c r="G44" s="48"/>
      <c r="H44" s="71">
        <v>0.1875</v>
      </c>
      <c r="I44" s="49"/>
      <c r="J44" s="71"/>
      <c r="K44" s="49"/>
      <c r="L44" s="50">
        <f t="shared" si="3"/>
        <v>0.1875</v>
      </c>
    </row>
    <row r="45" spans="2:12" ht="17.25" thickBot="1" x14ac:dyDescent="0.3">
      <c r="B45" s="104"/>
      <c r="C45" s="51" t="str">
        <f>A$4</f>
        <v>Da Silva</v>
      </c>
      <c r="D45" s="52">
        <f>SUMIFS(Journal!$D$4:$D$9363,Journal!$B$4:$B$9363,D$5,Journal!$C$4:$C$9363,$B44)</f>
        <v>0</v>
      </c>
      <c r="E45" s="53"/>
      <c r="F45" s="52">
        <f>SUMIFS(Journal!$D$4:$D$9363,Journal!$B$4:$B$9363,F$5,Journal!$C$4:$C$9363,$B44)</f>
        <v>0</v>
      </c>
      <c r="G45" s="53"/>
      <c r="H45" s="52">
        <f>SUMIFS(Journal!$D$4:$D$9363,Journal!$B$4:$B$9363,H$5,Journal!$C$4:$C$9363,$B44)</f>
        <v>4.1666666666666664E-2</v>
      </c>
      <c r="I45" s="53"/>
      <c r="J45" s="52">
        <f>SUMIFS(Journal!$D$4:$D$9363,Journal!$B$4:$B$9363,J$5,Journal!$C$4:$C$9363,$B44)</f>
        <v>0</v>
      </c>
      <c r="K45" s="53"/>
      <c r="L45" s="55">
        <f t="shared" si="3"/>
        <v>4.1666666666666664E-2</v>
      </c>
    </row>
    <row r="46" spans="2:12" x14ac:dyDescent="0.25">
      <c r="B46" s="103" t="str">
        <f>Base!G22</f>
        <v>2.11 - Bloquer une annonce (Admin)</v>
      </c>
      <c r="C46" s="47" t="str">
        <f>A$3</f>
        <v>Prévu</v>
      </c>
      <c r="D46" s="71"/>
      <c r="E46" s="48"/>
      <c r="F46" s="71"/>
      <c r="G46" s="48"/>
      <c r="I46" s="49"/>
      <c r="J46" s="71">
        <v>0.10416666666666667</v>
      </c>
      <c r="K46" s="49"/>
      <c r="L46" s="50">
        <f t="shared" si="3"/>
        <v>0.10416666666666667</v>
      </c>
    </row>
    <row r="47" spans="2:12" ht="17.25" thickBot="1" x14ac:dyDescent="0.3">
      <c r="B47" s="104"/>
      <c r="C47" s="51" t="str">
        <f>A$4</f>
        <v>Da Silva</v>
      </c>
      <c r="D47" s="52">
        <f>SUMIFS(Journal!$D$4:$D$9363,Journal!$B$4:$B$9363,D$5,Journal!$C$4:$C$9363,$B46)</f>
        <v>0</v>
      </c>
      <c r="E47" s="53"/>
      <c r="F47" s="52">
        <f>SUMIFS(Journal!$D$4:$D$9363,Journal!$B$4:$B$9363,F$5,Journal!$C$4:$C$9363,$B46)</f>
        <v>0</v>
      </c>
      <c r="G47" s="53"/>
      <c r="H47" s="52">
        <f>SUMIFS(Journal!$D$4:$D$9363,Journal!$B$4:$B$9363,H$5,Journal!$C$4:$C$9363,$B46)</f>
        <v>0</v>
      </c>
      <c r="I47" s="54"/>
      <c r="J47" s="52">
        <f>SUMIFS(Journal!$D$4:$D$9363,Journal!$B$4:$B$9363,J$5,Journal!$C$4:$C$9363,$B46)</f>
        <v>0</v>
      </c>
      <c r="K47" s="54"/>
      <c r="L47" s="55" t="str">
        <f t="shared" si="3"/>
        <v/>
      </c>
    </row>
    <row r="48" spans="2:12" x14ac:dyDescent="0.25">
      <c r="B48" s="103" t="str">
        <f>Base!G23</f>
        <v>2.12 - Bloquer un utilisateur (Admin)</v>
      </c>
      <c r="C48" s="47" t="str">
        <f>A$3</f>
        <v>Prévu</v>
      </c>
      <c r="D48" s="71"/>
      <c r="E48" s="48"/>
      <c r="F48" s="71"/>
      <c r="G48" s="48"/>
      <c r="I48" s="49"/>
      <c r="J48" s="71">
        <v>0.10416666666666667</v>
      </c>
      <c r="K48" s="49"/>
      <c r="L48" s="50">
        <f t="shared" si="3"/>
        <v>0.10416666666666667</v>
      </c>
    </row>
    <row r="49" spans="1:12" ht="17.25" thickBot="1" x14ac:dyDescent="0.3">
      <c r="B49" s="104"/>
      <c r="C49" s="51" t="str">
        <f>A$4</f>
        <v>Da Silva</v>
      </c>
      <c r="D49" s="52">
        <f>SUMIFS(Journal!$D$4:$D$9363,Journal!$B$4:$B$9363,D$5,Journal!$C$4:$C$9363,$B48)</f>
        <v>0</v>
      </c>
      <c r="E49" s="53"/>
      <c r="F49" s="52">
        <f>SUMIFS(Journal!$D$4:$D$9363,Journal!$B$4:$B$9363,F$5,Journal!$C$4:$C$9363,$B48)</f>
        <v>0</v>
      </c>
      <c r="G49" s="53"/>
      <c r="H49" s="52">
        <f>SUMIFS(Journal!$D$4:$D$9363,Journal!$B$4:$B$9363,H$5,Journal!$C$4:$C$9363,$B48)</f>
        <v>0</v>
      </c>
      <c r="I49" s="54"/>
      <c r="J49" s="52">
        <f>SUMIFS(Journal!$D$4:$D$9363,Journal!$B$4:$B$9363,J$5,Journal!$C$4:$C$9363,$B48)</f>
        <v>0</v>
      </c>
      <c r="K49" s="54"/>
      <c r="L49" s="55" t="str">
        <f t="shared" si="3"/>
        <v/>
      </c>
    </row>
    <row r="50" spans="1:12" ht="20.25" x14ac:dyDescent="0.25">
      <c r="A50" s="9" t="str">
        <f>Base!F24</f>
        <v>3 Tests</v>
      </c>
      <c r="B50" s="61"/>
      <c r="C50" s="61"/>
      <c r="D50" s="62"/>
      <c r="E50" s="62"/>
      <c r="F50" s="62"/>
      <c r="G50" s="62"/>
      <c r="H50" s="62"/>
      <c r="I50" s="62"/>
      <c r="J50" s="62"/>
      <c r="K50" s="62"/>
      <c r="L50" s="42">
        <f>SUMIF($C52:$C57,$C52,L52:L57)</f>
        <v>0.375</v>
      </c>
    </row>
    <row r="51" spans="1:12" ht="21" thickBot="1" x14ac:dyDescent="0.3">
      <c r="A51" s="63"/>
      <c r="B51" s="64"/>
      <c r="C51" s="64"/>
      <c r="D51" s="65"/>
      <c r="E51" s="65"/>
      <c r="F51" s="65"/>
      <c r="G51" s="65"/>
      <c r="H51" s="65"/>
      <c r="I51" s="65"/>
      <c r="J51" s="65"/>
      <c r="K51" s="65"/>
      <c r="L51" s="46">
        <f>SUMIF($C52:$C57,$C53,L52:L57)</f>
        <v>0.19791666666666669</v>
      </c>
    </row>
    <row r="52" spans="1:12" x14ac:dyDescent="0.25">
      <c r="B52" s="103" t="str">
        <f>Base!G24</f>
        <v>3.1 - Tests unitaires</v>
      </c>
      <c r="C52" s="47" t="str">
        <f>A$3</f>
        <v>Prévu</v>
      </c>
      <c r="D52" s="71"/>
      <c r="E52" s="48"/>
      <c r="F52" s="71">
        <v>4.1666666666666664E-2</v>
      </c>
      <c r="G52" s="48"/>
      <c r="H52" s="73">
        <v>5.2083333333333336E-2</v>
      </c>
      <c r="I52" s="49"/>
      <c r="J52" s="72">
        <v>2.0833333333333332E-2</v>
      </c>
      <c r="K52" s="49"/>
      <c r="L52" s="50">
        <f t="shared" ref="L52:L57" si="4">IF(SUM(D52:K52)=0,"",SUM(D52:K52))</f>
        <v>0.11458333333333333</v>
      </c>
    </row>
    <row r="53" spans="1:12" ht="17.25" thickBot="1" x14ac:dyDescent="0.3">
      <c r="B53" s="104"/>
      <c r="C53" s="51" t="str">
        <f>A$4</f>
        <v>Da Silva</v>
      </c>
      <c r="D53" s="52">
        <f>SUMIFS(Journal!$D$4:$D$9363,Journal!$B$4:$B$9363,D$5,Journal!$C$4:$C$9363,$B52)</f>
        <v>0</v>
      </c>
      <c r="E53" s="52">
        <f>SUMIFS(Journal!$D$7:$D$9320,Journal!$B$7:$B$9320,E$5,Journal!$C$7:$C$9320,$B52)</f>
        <v>0</v>
      </c>
      <c r="F53" s="52">
        <f>SUMIFS(Journal!$D$4:$D$9363,Journal!$B$4:$B$9363,F$5,Journal!$C$4:$C$9363,$B52)</f>
        <v>3.125E-2</v>
      </c>
      <c r="G53" s="52"/>
      <c r="H53" s="52">
        <f>SUMIFS(Journal!$D$4:$D$9363,Journal!$B$4:$B$9363,H$5,Journal!$C$4:$C$9363,$B52)</f>
        <v>2.0833333333333332E-2</v>
      </c>
      <c r="I53" s="52"/>
      <c r="J53" s="52">
        <f>SUMIFS(Journal!$D$4:$D$9363,Journal!$B$4:$B$9363,J$5,Journal!$C$4:$C$9363,$B52)</f>
        <v>0</v>
      </c>
      <c r="K53" s="52"/>
      <c r="L53" s="55">
        <f t="shared" si="4"/>
        <v>5.2083333333333329E-2</v>
      </c>
    </row>
    <row r="54" spans="1:12" x14ac:dyDescent="0.25">
      <c r="B54" s="105" t="str">
        <f>Base!G25</f>
        <v>3.2 - Tests d'intégrations</v>
      </c>
      <c r="C54" s="47" t="str">
        <f>A$3</f>
        <v>Prévu</v>
      </c>
      <c r="D54" s="71"/>
      <c r="E54" s="48"/>
      <c r="F54" s="72">
        <v>6.5972222222222224E-2</v>
      </c>
      <c r="G54" s="48"/>
      <c r="H54" s="72">
        <v>8.3333333333333329E-2</v>
      </c>
      <c r="I54" s="49"/>
      <c r="J54" s="72">
        <v>6.9444444444444448E-2</v>
      </c>
      <c r="K54" s="49"/>
      <c r="L54" s="50">
        <f t="shared" si="4"/>
        <v>0.21875</v>
      </c>
    </row>
    <row r="55" spans="1:12" ht="17.25" thickBot="1" x14ac:dyDescent="0.3">
      <c r="B55" s="104"/>
      <c r="C55" s="51" t="str">
        <f>A$4</f>
        <v>Da Silva</v>
      </c>
      <c r="D55" s="52">
        <f>SUMIFS(Journal!$D$4:$D$9363,Journal!$B$4:$B$9363,D$5,Journal!$C$4:$C$9363,$B54)</f>
        <v>0</v>
      </c>
      <c r="E55" s="53"/>
      <c r="F55" s="52">
        <f>SUMIFS(Journal!$D$4:$D$9363,Journal!$B$4:$B$9363,F$5,Journal!$C$4:$C$9363,$B54)</f>
        <v>0.11458333333333334</v>
      </c>
      <c r="G55" s="53"/>
      <c r="H55" s="52">
        <f>SUMIFS(Journal!$D$4:$D$9363,Journal!$B$4:$B$9363,H$5,Journal!$C$4:$C$9363,$B54)</f>
        <v>3.125E-2</v>
      </c>
      <c r="I55" s="53"/>
      <c r="J55" s="52">
        <f>SUMIFS(Journal!$D$4:$D$9363,Journal!$B$4:$B$9363,J$5,Journal!$C$4:$C$9363,$B54)</f>
        <v>0</v>
      </c>
      <c r="K55" s="53"/>
      <c r="L55" s="55">
        <f t="shared" si="4"/>
        <v>0.14583333333333334</v>
      </c>
    </row>
    <row r="56" spans="1:12" x14ac:dyDescent="0.25">
      <c r="B56" s="105" t="str">
        <f>Base!G26</f>
        <v>3.3 - Test d'acceptation</v>
      </c>
      <c r="C56" s="47" t="str">
        <f>A$3</f>
        <v>Prévu</v>
      </c>
      <c r="D56" s="71"/>
      <c r="E56" s="48"/>
      <c r="F56" s="71"/>
      <c r="G56" s="48"/>
      <c r="H56" s="71"/>
      <c r="I56" s="49"/>
      <c r="J56" s="72">
        <v>4.1666666666666664E-2</v>
      </c>
      <c r="K56" s="49"/>
      <c r="L56" s="50">
        <f t="shared" si="4"/>
        <v>4.1666666666666664E-2</v>
      </c>
    </row>
    <row r="57" spans="1:12" ht="17.25" thickBot="1" x14ac:dyDescent="0.3">
      <c r="B57" s="104"/>
      <c r="C57" s="51" t="str">
        <f>A$4</f>
        <v>Da Silva</v>
      </c>
      <c r="D57" s="52">
        <f>SUMIFS(Journal!$D$4:$D$9363,Journal!$B$4:$B$9363,D$5,Journal!$C$4:$C$9363,$B56)</f>
        <v>0</v>
      </c>
      <c r="E57" s="53"/>
      <c r="F57" s="52">
        <f>SUMIFS(Journal!$D$4:$D$9363,Journal!$B$4:$B$9363,F$5,Journal!$C$4:$C$9363,$B56)</f>
        <v>0</v>
      </c>
      <c r="G57" s="53"/>
      <c r="H57" s="52">
        <f>SUMIFS(Journal!$D$4:$D$9363,Journal!$B$4:$B$9363,H$5,Journal!$C$4:$C$9363,$B56)</f>
        <v>0</v>
      </c>
      <c r="I57" s="53"/>
      <c r="J57" s="52">
        <f>SUMIFS(Journal!$D$4:$D$9363,Journal!$B$4:$B$9363,J$5,Journal!$C$4:$C$9363,$B56)</f>
        <v>0</v>
      </c>
      <c r="K57" s="53"/>
      <c r="L57" s="55" t="str">
        <f t="shared" si="4"/>
        <v/>
      </c>
    </row>
    <row r="58" spans="1:12" ht="20.25" x14ac:dyDescent="0.25">
      <c r="A58" s="10" t="str">
        <f>Base!F27</f>
        <v>4 Documentation</v>
      </c>
      <c r="B58" s="66"/>
      <c r="C58" s="66"/>
      <c r="D58" s="67"/>
      <c r="E58" s="67"/>
      <c r="F58" s="67"/>
      <c r="G58" s="67"/>
      <c r="H58" s="67"/>
      <c r="I58" s="67"/>
      <c r="J58" s="67"/>
      <c r="K58" s="67"/>
      <c r="L58" s="42">
        <f>SUMIF($C60:$C63,$C60,L60:L63)</f>
        <v>0.9375</v>
      </c>
    </row>
    <row r="59" spans="1:12" ht="21" thickBot="1" x14ac:dyDescent="0.3">
      <c r="A59" s="68"/>
      <c r="B59" s="69"/>
      <c r="C59" s="69"/>
      <c r="D59" s="70"/>
      <c r="E59" s="70"/>
      <c r="F59" s="70"/>
      <c r="G59" s="70"/>
      <c r="H59" s="70"/>
      <c r="I59" s="70"/>
      <c r="J59" s="70"/>
      <c r="K59" s="70"/>
      <c r="L59" s="46">
        <f>SUMIF($C60:$C63,$C61,L60:L63)</f>
        <v>0.60416666666666663</v>
      </c>
    </row>
    <row r="60" spans="1:12" x14ac:dyDescent="0.25">
      <c r="B60" s="103" t="str">
        <f>Base!G27</f>
        <v>4.1 - Journal de travail</v>
      </c>
      <c r="C60" s="47" t="str">
        <f>A$3</f>
        <v>Prévu</v>
      </c>
      <c r="D60" s="71">
        <v>8.3333333333333329E-2</v>
      </c>
      <c r="E60" s="48"/>
      <c r="F60" s="71">
        <v>4.1666666666666664E-2</v>
      </c>
      <c r="G60" s="48"/>
      <c r="H60" s="71">
        <v>2.7777777777777776E-2</v>
      </c>
      <c r="I60" s="49"/>
      <c r="J60" s="72">
        <v>2.7777777777777776E-2</v>
      </c>
      <c r="K60" s="49"/>
      <c r="L60" s="50">
        <f>IF(SUM(D60:K60)=0,"",SUM(D60:K60))</f>
        <v>0.18055555555555558</v>
      </c>
    </row>
    <row r="61" spans="1:12" ht="17.25" thickBot="1" x14ac:dyDescent="0.3">
      <c r="B61" s="104"/>
      <c r="C61" s="51" t="str">
        <f>A$4</f>
        <v>Da Silva</v>
      </c>
      <c r="D61" s="52">
        <f>SUMIFS(Journal!$D$4:$D$9363,Journal!$B$4:$B$9363,D$5,Journal!$C$4:$C$9363,$B60)</f>
        <v>4.5138888888888881E-2</v>
      </c>
      <c r="E61" s="53"/>
      <c r="F61" s="52">
        <f>SUMIFS(Journal!$D$4:$D$9363,Journal!$B$4:$B$9363,F$5,Journal!$C$4:$C$9363,$B60)</f>
        <v>5.9027777777777769E-2</v>
      </c>
      <c r="G61" s="53"/>
      <c r="H61" s="52">
        <f>SUMIFS(Journal!$D$4:$D$9363,Journal!$B$4:$B$9363,H$5,Journal!$C$4:$C$9363,$B60)</f>
        <v>3.125E-2</v>
      </c>
      <c r="I61" s="54"/>
      <c r="J61" s="52">
        <f>SUMIFS(Journal!$D$4:$D$9363,Journal!$B$4:$B$9363,J$5,Journal!$C$4:$C$9363,$B60)</f>
        <v>0</v>
      </c>
      <c r="K61" s="54"/>
      <c r="L61" s="55">
        <f>IF(SUM(D61:K61)=0,"",SUM(D61:K61))</f>
        <v>0.13541666666666666</v>
      </c>
    </row>
    <row r="62" spans="1:12" ht="19.5" customHeight="1" x14ac:dyDescent="0.25">
      <c r="B62" s="105" t="str">
        <f>Base!G28</f>
        <v>4.2 - Rédaction de la documentation</v>
      </c>
      <c r="C62" s="47" t="str">
        <f>A$3</f>
        <v>Prévu</v>
      </c>
      <c r="D62" s="71">
        <v>4.1666666666666664E-2</v>
      </c>
      <c r="E62" s="48"/>
      <c r="F62" s="71">
        <v>0.20833333333333334</v>
      </c>
      <c r="G62" s="48"/>
      <c r="H62" s="71">
        <v>0.1736111111111111</v>
      </c>
      <c r="I62" s="49"/>
      <c r="J62" s="72">
        <v>0.33333333333333331</v>
      </c>
      <c r="K62" s="49"/>
      <c r="L62" s="50">
        <f>IF(SUM(D62:K62)=0,"",SUM(D62:K62))</f>
        <v>0.75694444444444442</v>
      </c>
    </row>
    <row r="63" spans="1:12" x14ac:dyDescent="0.25">
      <c r="B63" s="104"/>
      <c r="C63" s="51" t="str">
        <f>A$4</f>
        <v>Da Silva</v>
      </c>
      <c r="D63" s="52">
        <f>SUMIFS(Journal!$D$4:$D$9363,Journal!$B$4:$B$9363,D$5,Journal!$C$4:$C$9363,$B62)</f>
        <v>0.2013888888888889</v>
      </c>
      <c r="E63" s="53"/>
      <c r="F63" s="52">
        <f>SUMIFS(Journal!$D$4:$D$9363,Journal!$B$4:$B$9363,F$5,Journal!$C$4:$C$9363,$B62)</f>
        <v>0.12847222222222221</v>
      </c>
      <c r="G63" s="53"/>
      <c r="H63" s="52">
        <f>SUMIFS(Journal!$D$4:$D$9363,Journal!$B$4:$B$9363,H$5,Journal!$C$4:$C$9363,$B62)</f>
        <v>0.1388888888888889</v>
      </c>
      <c r="I63" s="54"/>
      <c r="J63" s="52">
        <f>SUMIFS(Journal!$D$4:$D$9363,Journal!$B$4:$B$9363,J$5,Journal!$C$4:$C$9363,$B62)</f>
        <v>0</v>
      </c>
      <c r="K63" s="54"/>
      <c r="L63" s="55">
        <f>IF(SUM(D63:K63)=0,"",SUM(D63:K63))</f>
        <v>0.46875</v>
      </c>
    </row>
    <row r="64" spans="1:12"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sheetData>
  <sheetProtection selectLockedCells="1"/>
  <mergeCells count="25">
    <mergeCell ref="B52:B53"/>
    <mergeCell ref="B54:B55"/>
    <mergeCell ref="B56:B57"/>
    <mergeCell ref="B60:B61"/>
    <mergeCell ref="B62:B63"/>
    <mergeCell ref="B22:B23"/>
    <mergeCell ref="B42:B43"/>
    <mergeCell ref="B44:B45"/>
    <mergeCell ref="B46:B47"/>
    <mergeCell ref="B48:B49"/>
    <mergeCell ref="B26:B27"/>
    <mergeCell ref="B28:B29"/>
    <mergeCell ref="B30:B31"/>
    <mergeCell ref="B32:B33"/>
    <mergeCell ref="B34:B35"/>
    <mergeCell ref="B36:B37"/>
    <mergeCell ref="B38:B39"/>
    <mergeCell ref="B40:B41"/>
    <mergeCell ref="B8:B9"/>
    <mergeCell ref="B16:B17"/>
    <mergeCell ref="B18:B19"/>
    <mergeCell ref="B20:B21"/>
    <mergeCell ref="B10:B11"/>
    <mergeCell ref="B12:B13"/>
    <mergeCell ref="B14:B15"/>
  </mergeCells>
  <conditionalFormatting sqref="B3">
    <cfRule type="colorScale" priority="1410">
      <colorScale>
        <cfvo type="num" val="1"/>
        <cfvo type="num" val="100000"/>
        <color theme="0" tint="-0.14999847407452621"/>
        <color theme="0" tint="-0.14999847407452621"/>
      </colorScale>
    </cfRule>
  </conditionalFormatting>
  <conditionalFormatting sqref="E4 G4 I4 K4">
    <cfRule type="cellIs" dxfId="136" priority="1401" stopIfTrue="1" operator="greaterThan">
      <formula>0</formula>
    </cfRule>
  </conditionalFormatting>
  <conditionalFormatting sqref="D3">
    <cfRule type="colorScale" priority="1314">
      <colorScale>
        <cfvo type="num" val="1"/>
        <cfvo type="num" val="100000"/>
        <color theme="0" tint="-0.14999847407452621"/>
        <color theme="0" tint="-0.14999847407452621"/>
      </colorScale>
    </cfRule>
  </conditionalFormatting>
  <conditionalFormatting sqref="D4">
    <cfRule type="cellIs" dxfId="135" priority="1312" stopIfTrue="1" operator="greaterThan">
      <formula>0</formula>
    </cfRule>
  </conditionalFormatting>
  <conditionalFormatting sqref="D8:K8 D18:K18 D22:K22 D46:G46 I46:K46 D52:K52 D48:G48 I48:K48">
    <cfRule type="cellIs" dxfId="134" priority="804" operator="greaterThan">
      <formula>0</formula>
    </cfRule>
  </conditionalFormatting>
  <conditionalFormatting sqref="D9:K9 D17:G17 I17:K17 D19:K19">
    <cfRule type="cellIs" dxfId="133" priority="792" operator="greaterThan">
      <formula>0</formula>
    </cfRule>
  </conditionalFormatting>
  <conditionalFormatting sqref="F3">
    <cfRule type="colorScale" priority="583">
      <colorScale>
        <cfvo type="num" val="1"/>
        <cfvo type="num" val="100000"/>
        <color theme="0" tint="-0.14999847407452621"/>
        <color theme="0" tint="-0.14999847407452621"/>
      </colorScale>
    </cfRule>
  </conditionalFormatting>
  <conditionalFormatting sqref="F4">
    <cfRule type="cellIs" dxfId="132" priority="582" stopIfTrue="1" operator="greaterThan">
      <formula>0</formula>
    </cfRule>
  </conditionalFormatting>
  <conditionalFormatting sqref="H3">
    <cfRule type="colorScale" priority="580">
      <colorScale>
        <cfvo type="num" val="1"/>
        <cfvo type="num" val="100000"/>
        <color theme="0" tint="-0.14999847407452621"/>
        <color theme="0" tint="-0.14999847407452621"/>
      </colorScale>
    </cfRule>
  </conditionalFormatting>
  <conditionalFormatting sqref="H4">
    <cfRule type="cellIs" dxfId="131" priority="579" stopIfTrue="1" operator="greaterThan">
      <formula>0</formula>
    </cfRule>
  </conditionalFormatting>
  <conditionalFormatting sqref="J3">
    <cfRule type="colorScale" priority="577">
      <colorScale>
        <cfvo type="num" val="1"/>
        <cfvo type="num" val="100000"/>
        <color theme="0" tint="-0.14999847407452621"/>
        <color theme="0" tint="-0.14999847407452621"/>
      </colorScale>
    </cfRule>
  </conditionalFormatting>
  <conditionalFormatting sqref="J4">
    <cfRule type="cellIs" dxfId="130" priority="576" stopIfTrue="1" operator="greaterThan">
      <formula>0</formula>
    </cfRule>
  </conditionalFormatting>
  <conditionalFormatting sqref="L8 L16 L18 L22">
    <cfRule type="cellIs" dxfId="129" priority="376" operator="greaterThan">
      <formula>0</formula>
    </cfRule>
  </conditionalFormatting>
  <conditionalFormatting sqref="L9 L17 L19 L23">
    <cfRule type="cellIs" dxfId="128" priority="375" operator="greaterThan">
      <formula>0</formula>
    </cfRule>
  </conditionalFormatting>
  <conditionalFormatting sqref="L62 L60 L56 L54 L52 L48 L46 L44 L42 L20">
    <cfRule type="cellIs" dxfId="127" priority="324" operator="greaterThan">
      <formula>0</formula>
    </cfRule>
  </conditionalFormatting>
  <conditionalFormatting sqref="L63 L61 L57 L55 L53 L49 L47 L45 L43 L21">
    <cfRule type="cellIs" dxfId="126" priority="323" operator="greaterThan">
      <formula>0</formula>
    </cfRule>
  </conditionalFormatting>
  <conditionalFormatting sqref="E21 G21 I21 K21">
    <cfRule type="cellIs" dxfId="125" priority="283" operator="greaterThan">
      <formula>0</formula>
    </cfRule>
  </conditionalFormatting>
  <conditionalFormatting sqref="D16:K16">
    <cfRule type="cellIs" dxfId="124" priority="272" operator="greaterThan">
      <formula>0</formula>
    </cfRule>
  </conditionalFormatting>
  <conditionalFormatting sqref="D20:K20">
    <cfRule type="cellIs" dxfId="123" priority="271" operator="greaterThan">
      <formula>0</formula>
    </cfRule>
  </conditionalFormatting>
  <conditionalFormatting sqref="D42:K42">
    <cfRule type="cellIs" dxfId="122" priority="246" operator="greaterThan">
      <formula>0</formula>
    </cfRule>
  </conditionalFormatting>
  <conditionalFormatting sqref="E43 E47 E45 G43 I43 K43 G45 I45 K45 G47 I47 K47">
    <cfRule type="cellIs" dxfId="121" priority="245" operator="greaterThan">
      <formula>0</formula>
    </cfRule>
  </conditionalFormatting>
  <conditionalFormatting sqref="E49 G49 I49 K49">
    <cfRule type="cellIs" dxfId="120" priority="244" operator="greaterThan">
      <formula>0</formula>
    </cfRule>
  </conditionalFormatting>
  <conditionalFormatting sqref="D44:K44">
    <cfRule type="cellIs" dxfId="119" priority="242" operator="greaterThan">
      <formula>0</formula>
    </cfRule>
  </conditionalFormatting>
  <conditionalFormatting sqref="E53 E55 E57 G53 I53 K53 G55 I55 K55 G57 I57 K57">
    <cfRule type="cellIs" dxfId="118" priority="239" operator="greaterThan">
      <formula>0</formula>
    </cfRule>
  </conditionalFormatting>
  <conditionalFormatting sqref="D54:K54">
    <cfRule type="cellIs" dxfId="117" priority="237" operator="greaterThan">
      <formula>0</formula>
    </cfRule>
  </conditionalFormatting>
  <conditionalFormatting sqref="D56:K56">
    <cfRule type="cellIs" dxfId="116" priority="236" operator="greaterThan">
      <formula>0</formula>
    </cfRule>
  </conditionalFormatting>
  <conditionalFormatting sqref="D60:K60">
    <cfRule type="cellIs" dxfId="115" priority="234" operator="greaterThan">
      <formula>0</formula>
    </cfRule>
  </conditionalFormatting>
  <conditionalFormatting sqref="E61 E63 G61 I61 K61 G63 I63 K63">
    <cfRule type="cellIs" dxfId="114" priority="233" operator="greaterThan">
      <formula>0</formula>
    </cfRule>
  </conditionalFormatting>
  <conditionalFormatting sqref="D62:K62">
    <cfRule type="cellIs" dxfId="113" priority="231" operator="greaterThan">
      <formula>0</formula>
    </cfRule>
  </conditionalFormatting>
  <conditionalFormatting sqref="D12:K12">
    <cfRule type="cellIs" dxfId="112" priority="162" operator="greaterThan">
      <formula>0</formula>
    </cfRule>
  </conditionalFormatting>
  <conditionalFormatting sqref="E11 E13 I11 G11 K11 G13 I13 K13">
    <cfRule type="cellIs" dxfId="111" priority="161" operator="greaterThan">
      <formula>0</formula>
    </cfRule>
  </conditionalFormatting>
  <conditionalFormatting sqref="L10 L12">
    <cfRule type="cellIs" dxfId="110" priority="160" operator="greaterThan">
      <formula>0</formula>
    </cfRule>
  </conditionalFormatting>
  <conditionalFormatting sqref="L11 L13">
    <cfRule type="cellIs" dxfId="109" priority="159" operator="greaterThan">
      <formula>0</formula>
    </cfRule>
  </conditionalFormatting>
  <conditionalFormatting sqref="L14">
    <cfRule type="cellIs" dxfId="108" priority="158" operator="greaterThan">
      <formula>0</formula>
    </cfRule>
  </conditionalFormatting>
  <conditionalFormatting sqref="L15">
    <cfRule type="cellIs" dxfId="107" priority="157" operator="greaterThan">
      <formula>0</formula>
    </cfRule>
  </conditionalFormatting>
  <conditionalFormatting sqref="E15 G15 I15 K15">
    <cfRule type="cellIs" dxfId="106" priority="156" operator="greaterThan">
      <formula>0</formula>
    </cfRule>
  </conditionalFormatting>
  <conditionalFormatting sqref="D10:K10">
    <cfRule type="cellIs" dxfId="105" priority="155" operator="greaterThan">
      <formula>0</formula>
    </cfRule>
  </conditionalFormatting>
  <conditionalFormatting sqref="D14:K14">
    <cfRule type="cellIs" dxfId="104" priority="154" operator="greaterThan">
      <formula>0</formula>
    </cfRule>
  </conditionalFormatting>
  <conditionalFormatting sqref="E23:K23">
    <cfRule type="cellIs" dxfId="103" priority="145" operator="greaterThan">
      <formula>0</formula>
    </cfRule>
  </conditionalFormatting>
  <conditionalFormatting sqref="D30:G30 I30:K30">
    <cfRule type="cellIs" dxfId="102" priority="144" operator="greaterThan">
      <formula>0</formula>
    </cfRule>
  </conditionalFormatting>
  <conditionalFormatting sqref="L32 L30 L28 L26">
    <cfRule type="cellIs" dxfId="101" priority="143" operator="greaterThan">
      <formula>0</formula>
    </cfRule>
  </conditionalFormatting>
  <conditionalFormatting sqref="L33 L31 L29 L27">
    <cfRule type="cellIs" dxfId="100" priority="142" operator="greaterThan">
      <formula>0</formula>
    </cfRule>
  </conditionalFormatting>
  <conditionalFormatting sqref="D26:K26">
    <cfRule type="cellIs" dxfId="99" priority="141" operator="greaterThan">
      <formula>0</formula>
    </cfRule>
  </conditionalFormatting>
  <conditionalFormatting sqref="E27 E31 E29 G27 I27 K27 G29 I29 K29 G31 I31 K31">
    <cfRule type="cellIs" dxfId="98" priority="140" operator="greaterThan">
      <formula>0</formula>
    </cfRule>
  </conditionalFormatting>
  <conditionalFormatting sqref="E33 G33 I33 K33">
    <cfRule type="cellIs" dxfId="97" priority="139" operator="greaterThan">
      <formula>0</formula>
    </cfRule>
  </conditionalFormatting>
  <conditionalFormatting sqref="D28:K28">
    <cfRule type="cellIs" dxfId="96" priority="138" operator="greaterThan">
      <formula>0</formula>
    </cfRule>
  </conditionalFormatting>
  <conditionalFormatting sqref="D32:K32">
    <cfRule type="cellIs" dxfId="95" priority="137" operator="greaterThan">
      <formula>0</formula>
    </cfRule>
  </conditionalFormatting>
  <conditionalFormatting sqref="D38:G38 I38:K38">
    <cfRule type="cellIs" dxfId="94" priority="124" operator="greaterThan">
      <formula>0</formula>
    </cfRule>
  </conditionalFormatting>
  <conditionalFormatting sqref="L40 L38 L36 L34">
    <cfRule type="cellIs" dxfId="93" priority="123" operator="greaterThan">
      <formula>0</formula>
    </cfRule>
  </conditionalFormatting>
  <conditionalFormatting sqref="L41 L39 L37 L35">
    <cfRule type="cellIs" dxfId="92" priority="122" operator="greaterThan">
      <formula>0</formula>
    </cfRule>
  </conditionalFormatting>
  <conditionalFormatting sqref="D34:K34">
    <cfRule type="cellIs" dxfId="91" priority="121" operator="greaterThan">
      <formula>0</formula>
    </cfRule>
  </conditionalFormatting>
  <conditionalFormatting sqref="E35 E39 E37 G35 I35 K35 G37 I37 K37 G39 I39 K39">
    <cfRule type="cellIs" dxfId="90" priority="120" operator="greaterThan">
      <formula>0</formula>
    </cfRule>
  </conditionalFormatting>
  <conditionalFormatting sqref="E41 G41 I41 K41">
    <cfRule type="cellIs" dxfId="89" priority="119" operator="greaterThan">
      <formula>0</formula>
    </cfRule>
  </conditionalFormatting>
  <conditionalFormatting sqref="D36:K36">
    <cfRule type="cellIs" dxfId="88" priority="118" operator="greaterThan">
      <formula>0</formula>
    </cfRule>
  </conditionalFormatting>
  <conditionalFormatting sqref="D40:K40">
    <cfRule type="cellIs" dxfId="87" priority="117" operator="greaterThan">
      <formula>0</formula>
    </cfRule>
  </conditionalFormatting>
  <conditionalFormatting sqref="D11">
    <cfRule type="cellIs" dxfId="86" priority="104" operator="greaterThan">
      <formula>0</formula>
    </cfRule>
  </conditionalFormatting>
  <conditionalFormatting sqref="F11">
    <cfRule type="cellIs" dxfId="85" priority="103" operator="greaterThan">
      <formula>0</formula>
    </cfRule>
  </conditionalFormatting>
  <conditionalFormatting sqref="H11">
    <cfRule type="cellIs" dxfId="84" priority="102" operator="greaterThan">
      <formula>0</formula>
    </cfRule>
  </conditionalFormatting>
  <conditionalFormatting sqref="J11">
    <cfRule type="cellIs" dxfId="83" priority="101" operator="greaterThan">
      <formula>0</formula>
    </cfRule>
  </conditionalFormatting>
  <conditionalFormatting sqref="D13">
    <cfRule type="cellIs" dxfId="82" priority="100" operator="greaterThan">
      <formula>0</formula>
    </cfRule>
  </conditionalFormatting>
  <conditionalFormatting sqref="F13">
    <cfRule type="cellIs" dxfId="81" priority="99" operator="greaterThan">
      <formula>0</formula>
    </cfRule>
  </conditionalFormatting>
  <conditionalFormatting sqref="H13">
    <cfRule type="cellIs" dxfId="80" priority="98" operator="greaterThan">
      <formula>0</formula>
    </cfRule>
  </conditionalFormatting>
  <conditionalFormatting sqref="J13">
    <cfRule type="cellIs" dxfId="79" priority="97" operator="greaterThan">
      <formula>0</formula>
    </cfRule>
  </conditionalFormatting>
  <conditionalFormatting sqref="D15">
    <cfRule type="cellIs" dxfId="78" priority="96" operator="greaterThan">
      <formula>0</formula>
    </cfRule>
  </conditionalFormatting>
  <conditionalFormatting sqref="F15">
    <cfRule type="cellIs" dxfId="77" priority="95" operator="greaterThan">
      <formula>0</formula>
    </cfRule>
  </conditionalFormatting>
  <conditionalFormatting sqref="H15">
    <cfRule type="cellIs" dxfId="76" priority="94" operator="greaterThan">
      <formula>0</formula>
    </cfRule>
  </conditionalFormatting>
  <conditionalFormatting sqref="J15">
    <cfRule type="cellIs" dxfId="75" priority="93" operator="greaterThan">
      <formula>0</formula>
    </cfRule>
  </conditionalFormatting>
  <conditionalFormatting sqref="H17">
    <cfRule type="cellIs" dxfId="74" priority="92" operator="greaterThan">
      <formula>0</formula>
    </cfRule>
  </conditionalFormatting>
  <conditionalFormatting sqref="D21">
    <cfRule type="cellIs" dxfId="73" priority="91" operator="greaterThan">
      <formula>0</formula>
    </cfRule>
  </conditionalFormatting>
  <conditionalFormatting sqref="F21">
    <cfRule type="cellIs" dxfId="72" priority="90" operator="greaterThan">
      <formula>0</formula>
    </cfRule>
  </conditionalFormatting>
  <conditionalFormatting sqref="H21">
    <cfRule type="cellIs" dxfId="71" priority="89" operator="greaterThan">
      <formula>0</formula>
    </cfRule>
  </conditionalFormatting>
  <conditionalFormatting sqref="J21">
    <cfRule type="cellIs" dxfId="70" priority="88" operator="greaterThan">
      <formula>0</formula>
    </cfRule>
  </conditionalFormatting>
  <conditionalFormatting sqref="D23">
    <cfRule type="cellIs" dxfId="69" priority="87" operator="greaterThan">
      <formula>0</formula>
    </cfRule>
  </conditionalFormatting>
  <conditionalFormatting sqref="D27">
    <cfRule type="cellIs" dxfId="68" priority="85" operator="greaterThan">
      <formula>0</formula>
    </cfRule>
  </conditionalFormatting>
  <conditionalFormatting sqref="F27">
    <cfRule type="cellIs" dxfId="67" priority="84" operator="greaterThan">
      <formula>0</formula>
    </cfRule>
  </conditionalFormatting>
  <conditionalFormatting sqref="H27">
    <cfRule type="cellIs" dxfId="66" priority="83" operator="greaterThan">
      <formula>0</formula>
    </cfRule>
  </conditionalFormatting>
  <conditionalFormatting sqref="J27">
    <cfRule type="cellIs" dxfId="65" priority="82" operator="greaterThan">
      <formula>0</formula>
    </cfRule>
  </conditionalFormatting>
  <conditionalFormatting sqref="D29">
    <cfRule type="cellIs" dxfId="64" priority="81" operator="greaterThan">
      <formula>0</formula>
    </cfRule>
  </conditionalFormatting>
  <conditionalFormatting sqref="F29">
    <cfRule type="cellIs" dxfId="63" priority="80" operator="greaterThan">
      <formula>0</formula>
    </cfRule>
  </conditionalFormatting>
  <conditionalFormatting sqref="H29">
    <cfRule type="cellIs" dxfId="62" priority="79" operator="greaterThan">
      <formula>0</formula>
    </cfRule>
  </conditionalFormatting>
  <conditionalFormatting sqref="J29">
    <cfRule type="cellIs" dxfId="61" priority="78" operator="greaterThan">
      <formula>0</formula>
    </cfRule>
  </conditionalFormatting>
  <conditionalFormatting sqref="D31">
    <cfRule type="cellIs" dxfId="60" priority="77" operator="greaterThan">
      <formula>0</formula>
    </cfRule>
  </conditionalFormatting>
  <conditionalFormatting sqref="F31">
    <cfRule type="cellIs" dxfId="59" priority="76" operator="greaterThan">
      <formula>0</formula>
    </cfRule>
  </conditionalFormatting>
  <conditionalFormatting sqref="H31">
    <cfRule type="cellIs" dxfId="58" priority="75" operator="greaterThan">
      <formula>0</formula>
    </cfRule>
  </conditionalFormatting>
  <conditionalFormatting sqref="J31">
    <cfRule type="cellIs" dxfId="57" priority="74" operator="greaterThan">
      <formula>0</formula>
    </cfRule>
  </conditionalFormatting>
  <conditionalFormatting sqref="D35">
    <cfRule type="cellIs" dxfId="56" priority="64" operator="greaterThan">
      <formula>0</formula>
    </cfRule>
  </conditionalFormatting>
  <conditionalFormatting sqref="F35">
    <cfRule type="cellIs" dxfId="55" priority="63" operator="greaterThan">
      <formula>0</formula>
    </cfRule>
  </conditionalFormatting>
  <conditionalFormatting sqref="H35">
    <cfRule type="cellIs" dxfId="54" priority="62" operator="greaterThan">
      <formula>0</formula>
    </cfRule>
  </conditionalFormatting>
  <conditionalFormatting sqref="J35">
    <cfRule type="cellIs" dxfId="53" priority="61" operator="greaterThan">
      <formula>0</formula>
    </cfRule>
  </conditionalFormatting>
  <conditionalFormatting sqref="D33">
    <cfRule type="cellIs" dxfId="52" priority="60" operator="greaterThan">
      <formula>0</formula>
    </cfRule>
  </conditionalFormatting>
  <conditionalFormatting sqref="F33">
    <cfRule type="cellIs" dxfId="51" priority="59" operator="greaterThan">
      <formula>0</formula>
    </cfRule>
  </conditionalFormatting>
  <conditionalFormatting sqref="H33">
    <cfRule type="cellIs" dxfId="50" priority="58" operator="greaterThan">
      <formula>0</formula>
    </cfRule>
  </conditionalFormatting>
  <conditionalFormatting sqref="J33">
    <cfRule type="cellIs" dxfId="49" priority="57" operator="greaterThan">
      <formula>0</formula>
    </cfRule>
  </conditionalFormatting>
  <conditionalFormatting sqref="D37">
    <cfRule type="cellIs" dxfId="48" priority="51" operator="greaterThan">
      <formula>0</formula>
    </cfRule>
  </conditionalFormatting>
  <conditionalFormatting sqref="F37">
    <cfRule type="cellIs" dxfId="47" priority="50" operator="greaterThan">
      <formula>0</formula>
    </cfRule>
  </conditionalFormatting>
  <conditionalFormatting sqref="H37">
    <cfRule type="cellIs" dxfId="46" priority="49" operator="greaterThan">
      <formula>0</formula>
    </cfRule>
  </conditionalFormatting>
  <conditionalFormatting sqref="J37">
    <cfRule type="cellIs" dxfId="45" priority="48" operator="greaterThan">
      <formula>0</formula>
    </cfRule>
  </conditionalFormatting>
  <conditionalFormatting sqref="D39">
    <cfRule type="cellIs" dxfId="44" priority="47" operator="greaterThan">
      <formula>0</formula>
    </cfRule>
  </conditionalFormatting>
  <conditionalFormatting sqref="F39">
    <cfRule type="cellIs" dxfId="43" priority="46" operator="greaterThan">
      <formula>0</formula>
    </cfRule>
  </conditionalFormatting>
  <conditionalFormatting sqref="H39">
    <cfRule type="cellIs" dxfId="42" priority="45" operator="greaterThan">
      <formula>0</formula>
    </cfRule>
  </conditionalFormatting>
  <conditionalFormatting sqref="J39">
    <cfRule type="cellIs" dxfId="41" priority="44" operator="greaterThan">
      <formula>0</formula>
    </cfRule>
  </conditionalFormatting>
  <conditionalFormatting sqref="D41">
    <cfRule type="cellIs" dxfId="40" priority="43" operator="greaterThan">
      <formula>0</formula>
    </cfRule>
  </conditionalFormatting>
  <conditionalFormatting sqref="F41">
    <cfRule type="cellIs" dxfId="39" priority="42" operator="greaterThan">
      <formula>0</formula>
    </cfRule>
  </conditionalFormatting>
  <conditionalFormatting sqref="H41">
    <cfRule type="cellIs" dxfId="38" priority="41" operator="greaterThan">
      <formula>0</formula>
    </cfRule>
  </conditionalFormatting>
  <conditionalFormatting sqref="J41">
    <cfRule type="cellIs" dxfId="37" priority="40" operator="greaterThan">
      <formula>0</formula>
    </cfRule>
  </conditionalFormatting>
  <conditionalFormatting sqref="D43">
    <cfRule type="cellIs" dxfId="36" priority="39" operator="greaterThan">
      <formula>0</formula>
    </cfRule>
  </conditionalFormatting>
  <conditionalFormatting sqref="F43">
    <cfRule type="cellIs" dxfId="35" priority="38" operator="greaterThan">
      <formula>0</formula>
    </cfRule>
  </conditionalFormatting>
  <conditionalFormatting sqref="H43">
    <cfRule type="cellIs" dxfId="34" priority="37" operator="greaterThan">
      <formula>0</formula>
    </cfRule>
  </conditionalFormatting>
  <conditionalFormatting sqref="J43">
    <cfRule type="cellIs" dxfId="33" priority="36" operator="greaterThan">
      <formula>0</formula>
    </cfRule>
  </conditionalFormatting>
  <conditionalFormatting sqref="D45">
    <cfRule type="cellIs" dxfId="32" priority="35" operator="greaterThan">
      <formula>0</formula>
    </cfRule>
  </conditionalFormatting>
  <conditionalFormatting sqref="F45">
    <cfRule type="cellIs" dxfId="31" priority="34" operator="greaterThan">
      <formula>0</formula>
    </cfRule>
  </conditionalFormatting>
  <conditionalFormatting sqref="H45">
    <cfRule type="cellIs" dxfId="30" priority="32" operator="greaterThan">
      <formula>0</formula>
    </cfRule>
  </conditionalFormatting>
  <conditionalFormatting sqref="J45">
    <cfRule type="cellIs" dxfId="29" priority="31" operator="greaterThan">
      <formula>0</formula>
    </cfRule>
  </conditionalFormatting>
  <conditionalFormatting sqref="D47">
    <cfRule type="cellIs" dxfId="28" priority="30" operator="greaterThan">
      <formula>0</formula>
    </cfRule>
  </conditionalFormatting>
  <conditionalFormatting sqref="F47">
    <cfRule type="cellIs" dxfId="27" priority="29" operator="greaterThan">
      <formula>0</formula>
    </cfRule>
  </conditionalFormatting>
  <conditionalFormatting sqref="H47">
    <cfRule type="cellIs" dxfId="26" priority="28" operator="greaterThan">
      <formula>0</formula>
    </cfRule>
  </conditionalFormatting>
  <conditionalFormatting sqref="J47">
    <cfRule type="cellIs" dxfId="25" priority="27" operator="greaterThan">
      <formula>0</formula>
    </cfRule>
  </conditionalFormatting>
  <conditionalFormatting sqref="D49">
    <cfRule type="cellIs" dxfId="24" priority="26" operator="greaterThan">
      <formula>0</formula>
    </cfRule>
  </conditionalFormatting>
  <conditionalFormatting sqref="F49">
    <cfRule type="cellIs" dxfId="23" priority="25" operator="greaterThan">
      <formula>0</formula>
    </cfRule>
  </conditionalFormatting>
  <conditionalFormatting sqref="H49">
    <cfRule type="cellIs" dxfId="22" priority="24" operator="greaterThan">
      <formula>0</formula>
    </cfRule>
  </conditionalFormatting>
  <conditionalFormatting sqref="J49">
    <cfRule type="cellIs" dxfId="21" priority="23" operator="greaterThan">
      <formula>0</formula>
    </cfRule>
  </conditionalFormatting>
  <conditionalFormatting sqref="D53">
    <cfRule type="cellIs" dxfId="20" priority="22" operator="greaterThan">
      <formula>0</formula>
    </cfRule>
  </conditionalFormatting>
  <conditionalFormatting sqref="F53">
    <cfRule type="cellIs" dxfId="19" priority="21" operator="greaterThan">
      <formula>0</formula>
    </cfRule>
  </conditionalFormatting>
  <conditionalFormatting sqref="H53">
    <cfRule type="cellIs" dxfId="18" priority="20" operator="greaterThan">
      <formula>0</formula>
    </cfRule>
  </conditionalFormatting>
  <conditionalFormatting sqref="J53">
    <cfRule type="cellIs" dxfId="17" priority="19" operator="greaterThan">
      <formula>0</formula>
    </cfRule>
  </conditionalFormatting>
  <conditionalFormatting sqref="D55">
    <cfRule type="cellIs" dxfId="16" priority="18" operator="greaterThan">
      <formula>0</formula>
    </cfRule>
  </conditionalFormatting>
  <conditionalFormatting sqref="F55">
    <cfRule type="cellIs" dxfId="15" priority="17" operator="greaterThan">
      <formula>0</formula>
    </cfRule>
  </conditionalFormatting>
  <conditionalFormatting sqref="H55">
    <cfRule type="cellIs" dxfId="14" priority="16" operator="greaterThan">
      <formula>0</formula>
    </cfRule>
  </conditionalFormatting>
  <conditionalFormatting sqref="J55">
    <cfRule type="cellIs" dxfId="13" priority="15" operator="greaterThan">
      <formula>0</formula>
    </cfRule>
  </conditionalFormatting>
  <conditionalFormatting sqref="D57">
    <cfRule type="cellIs" dxfId="12" priority="13" operator="greaterThan">
      <formula>0</formula>
    </cfRule>
  </conditionalFormatting>
  <conditionalFormatting sqref="F57">
    <cfRule type="cellIs" dxfId="11" priority="12" operator="greaterThan">
      <formula>0</formula>
    </cfRule>
  </conditionalFormatting>
  <conditionalFormatting sqref="H57">
    <cfRule type="cellIs" dxfId="10" priority="11" operator="greaterThan">
      <formula>0</formula>
    </cfRule>
  </conditionalFormatting>
  <conditionalFormatting sqref="J57">
    <cfRule type="cellIs" dxfId="9" priority="10" operator="greaterThan">
      <formula>0</formula>
    </cfRule>
  </conditionalFormatting>
  <conditionalFormatting sqref="D61">
    <cfRule type="cellIs" dxfId="8" priority="9" operator="greaterThan">
      <formula>0</formula>
    </cfRule>
  </conditionalFormatting>
  <conditionalFormatting sqref="F61">
    <cfRule type="cellIs" dxfId="7" priority="8" operator="greaterThan">
      <formula>0</formula>
    </cfRule>
  </conditionalFormatting>
  <conditionalFormatting sqref="H61">
    <cfRule type="cellIs" dxfId="6" priority="7" operator="greaterThan">
      <formula>0</formula>
    </cfRule>
  </conditionalFormatting>
  <conditionalFormatting sqref="J61">
    <cfRule type="cellIs" dxfId="5" priority="6" operator="greaterThan">
      <formula>0</formula>
    </cfRule>
  </conditionalFormatting>
  <conditionalFormatting sqref="D63">
    <cfRule type="cellIs" dxfId="4" priority="5" operator="greaterThan">
      <formula>0</formula>
    </cfRule>
  </conditionalFormatting>
  <conditionalFormatting sqref="F63">
    <cfRule type="cellIs" dxfId="3" priority="4" operator="greaterThan">
      <formula>0</formula>
    </cfRule>
  </conditionalFormatting>
  <conditionalFormatting sqref="H63">
    <cfRule type="cellIs" dxfId="2" priority="3" operator="greaterThan">
      <formula>0</formula>
    </cfRule>
  </conditionalFormatting>
  <conditionalFormatting sqref="J63">
    <cfRule type="cellIs" dxfId="1" priority="2" operator="greaterThan">
      <formula>0</formula>
    </cfRule>
  </conditionalFormatting>
  <conditionalFormatting sqref="J46">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51"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pageSetUpPr fitToPage="1"/>
  </sheetPr>
  <dimension ref="A1:N79"/>
  <sheetViews>
    <sheetView topLeftCell="A61" workbookViewId="0">
      <selection activeCell="C76" sqref="C76:C79"/>
    </sheetView>
  </sheetViews>
  <sheetFormatPr baseColWidth="10" defaultColWidth="11.42578125" defaultRowHeight="15" x14ac:dyDescent="0.25"/>
  <cols>
    <col min="1" max="1" width="10.7109375" bestFit="1" customWidth="1"/>
    <col min="2" max="2" width="8" customWidth="1"/>
    <col min="3" max="3" width="39.28515625" bestFit="1" customWidth="1"/>
    <col min="4" max="4" width="11.28515625" bestFit="1" customWidth="1"/>
    <col min="5" max="5" width="50.7109375" customWidth="1"/>
    <col min="6" max="6" width="5.85546875" bestFit="1" customWidth="1"/>
  </cols>
  <sheetData>
    <row r="1" spans="1:14" x14ac:dyDescent="0.25">
      <c r="A1" s="75" t="s">
        <v>3</v>
      </c>
      <c r="B1" s="75"/>
      <c r="C1" s="76" t="str">
        <f>CONCATENATE(Base!C4," ",Base!D4)</f>
        <v>Da Silva Maikol</v>
      </c>
      <c r="D1" s="77"/>
      <c r="E1" s="78">
        <f ca="1">TODAY()</f>
        <v>45434</v>
      </c>
    </row>
    <row r="2" spans="1:14" x14ac:dyDescent="0.25">
      <c r="A2" s="76" t="s">
        <v>14</v>
      </c>
      <c r="B2" s="77"/>
      <c r="C2" s="77"/>
      <c r="D2" s="77"/>
      <c r="E2" s="79"/>
    </row>
    <row r="3" spans="1:14" x14ac:dyDescent="0.25">
      <c r="A3" s="80" t="s">
        <v>15</v>
      </c>
      <c r="B3" s="80" t="s">
        <v>62</v>
      </c>
      <c r="C3" s="80" t="s">
        <v>16</v>
      </c>
      <c r="D3" s="80" t="s">
        <v>17</v>
      </c>
      <c r="E3" s="81" t="s">
        <v>18</v>
      </c>
    </row>
    <row r="4" spans="1:14" ht="60" x14ac:dyDescent="0.25">
      <c r="A4" s="89">
        <v>45412</v>
      </c>
      <c r="B4" s="90">
        <v>1</v>
      </c>
      <c r="C4" s="91" t="s">
        <v>29</v>
      </c>
      <c r="D4" s="92">
        <v>2.0833333333333332E-2</v>
      </c>
      <c r="E4" s="93" t="s">
        <v>116</v>
      </c>
      <c r="H4" s="86" t="s">
        <v>45</v>
      </c>
      <c r="I4" s="88">
        <v>0.16666666666666666</v>
      </c>
    </row>
    <row r="5" spans="1:14" x14ac:dyDescent="0.25">
      <c r="A5" s="89">
        <v>45412</v>
      </c>
      <c r="B5" s="90">
        <v>1</v>
      </c>
      <c r="C5" s="91" t="s">
        <v>30</v>
      </c>
      <c r="D5" s="92">
        <v>6.25E-2</v>
      </c>
      <c r="E5" s="93" t="s">
        <v>56</v>
      </c>
      <c r="F5" s="83"/>
      <c r="H5" s="86"/>
      <c r="I5" s="88">
        <v>0.16666666666666666</v>
      </c>
    </row>
    <row r="6" spans="1:14" x14ac:dyDescent="0.25">
      <c r="A6" s="89">
        <v>45412</v>
      </c>
      <c r="B6" s="90">
        <v>1</v>
      </c>
      <c r="C6" s="91" t="s">
        <v>50</v>
      </c>
      <c r="D6" s="92">
        <v>8.3333333333333329E-2</v>
      </c>
      <c r="E6" s="93" t="s">
        <v>57</v>
      </c>
      <c r="F6" s="85">
        <f>SUM(D4:D6)</f>
        <v>0.16666666666666666</v>
      </c>
      <c r="H6" s="86"/>
      <c r="I6" s="88">
        <v>0.2638888888888889</v>
      </c>
    </row>
    <row r="7" spans="1:14" x14ac:dyDescent="0.25">
      <c r="A7" s="94">
        <v>45413</v>
      </c>
      <c r="B7" s="95">
        <v>1</v>
      </c>
      <c r="C7" s="96" t="s">
        <v>50</v>
      </c>
      <c r="D7" s="97">
        <v>4.1666666666666664E-2</v>
      </c>
      <c r="E7" s="98" t="s">
        <v>58</v>
      </c>
      <c r="H7" s="86"/>
      <c r="I7" s="88">
        <v>0.19791666666666666</v>
      </c>
    </row>
    <row r="8" spans="1:14" x14ac:dyDescent="0.25">
      <c r="A8" s="94">
        <v>45413</v>
      </c>
      <c r="B8" s="95">
        <v>1</v>
      </c>
      <c r="C8" s="96" t="s">
        <v>86</v>
      </c>
      <c r="D8" s="97">
        <v>4.1666666666666664E-2</v>
      </c>
      <c r="E8" s="98" t="s">
        <v>59</v>
      </c>
      <c r="F8" s="83"/>
      <c r="H8" s="86"/>
      <c r="I8" s="88">
        <v>0.2638888888888889</v>
      </c>
      <c r="J8" s="84" t="s">
        <v>12</v>
      </c>
      <c r="K8" s="85">
        <f>SUM(I4:I8)</f>
        <v>1.0590277777777777</v>
      </c>
      <c r="M8" s="82"/>
    </row>
    <row r="9" spans="1:14" x14ac:dyDescent="0.25">
      <c r="A9" s="94">
        <v>45413</v>
      </c>
      <c r="B9" s="95">
        <v>1</v>
      </c>
      <c r="C9" s="96" t="s">
        <v>30</v>
      </c>
      <c r="D9" s="97">
        <v>4.1666666666666664E-2</v>
      </c>
      <c r="E9" s="98" t="s">
        <v>63</v>
      </c>
      <c r="F9" s="83"/>
      <c r="H9" s="87" t="s">
        <v>46</v>
      </c>
      <c r="I9" s="88">
        <v>0.16666666666666666</v>
      </c>
      <c r="M9" s="82"/>
    </row>
    <row r="10" spans="1:14" x14ac:dyDescent="0.25">
      <c r="A10" s="94">
        <v>45413</v>
      </c>
      <c r="B10" s="95">
        <v>1</v>
      </c>
      <c r="C10" s="96" t="s">
        <v>51</v>
      </c>
      <c r="D10" s="97">
        <v>2.7777777777777776E-2</v>
      </c>
      <c r="E10" s="98" t="s">
        <v>64</v>
      </c>
      <c r="H10" s="87"/>
      <c r="I10" s="88">
        <v>0.16666666666666666</v>
      </c>
      <c r="M10" s="82"/>
    </row>
    <row r="11" spans="1:14" x14ac:dyDescent="0.25">
      <c r="A11" s="94">
        <v>45413</v>
      </c>
      <c r="B11" s="95">
        <v>1</v>
      </c>
      <c r="C11" s="96" t="s">
        <v>85</v>
      </c>
      <c r="D11" s="97">
        <v>1.3888888888888888E-2</v>
      </c>
      <c r="E11" s="98" t="s">
        <v>60</v>
      </c>
      <c r="F11" s="85">
        <f>SUM(D7:D11)</f>
        <v>0.16666666666666669</v>
      </c>
      <c r="H11" s="87"/>
      <c r="I11" s="88">
        <v>0.2638888888888889</v>
      </c>
      <c r="M11" s="82"/>
    </row>
    <row r="12" spans="1:14" x14ac:dyDescent="0.25">
      <c r="A12" s="89">
        <v>45414</v>
      </c>
      <c r="B12" s="90">
        <v>1</v>
      </c>
      <c r="C12" s="91" t="s">
        <v>51</v>
      </c>
      <c r="D12" s="92">
        <v>5.5555555555555552E-2</v>
      </c>
      <c r="E12" s="93" t="s">
        <v>65</v>
      </c>
      <c r="H12" s="87"/>
      <c r="I12" s="88">
        <v>0.16666666666666666</v>
      </c>
      <c r="M12" s="82"/>
    </row>
    <row r="13" spans="1:14" x14ac:dyDescent="0.25">
      <c r="A13" s="89">
        <v>45414</v>
      </c>
      <c r="B13" s="90">
        <v>1</v>
      </c>
      <c r="C13" s="91" t="s">
        <v>53</v>
      </c>
      <c r="D13" s="92">
        <v>7.6388888888888895E-2</v>
      </c>
      <c r="E13" s="93" t="s">
        <v>66</v>
      </c>
      <c r="F13" s="85"/>
      <c r="H13" s="87"/>
      <c r="I13" s="88">
        <v>0.16666666666666666</v>
      </c>
      <c r="M13" s="82"/>
    </row>
    <row r="14" spans="1:14" x14ac:dyDescent="0.25">
      <c r="A14" s="89">
        <v>45414</v>
      </c>
      <c r="B14" s="90">
        <v>1</v>
      </c>
      <c r="C14" s="91" t="s">
        <v>53</v>
      </c>
      <c r="D14" s="92">
        <v>6.9444444444444434E-2</v>
      </c>
      <c r="E14" s="93" t="s">
        <v>68</v>
      </c>
      <c r="F14" s="85"/>
      <c r="H14" s="87"/>
      <c r="I14" s="88">
        <v>0.2638888888888889</v>
      </c>
      <c r="J14" s="84" t="s">
        <v>12</v>
      </c>
      <c r="K14" s="85">
        <f>SUM(I9:I14)</f>
        <v>1.1944444444444444</v>
      </c>
      <c r="M14" s="82"/>
      <c r="N14" s="85"/>
    </row>
    <row r="15" spans="1:14" ht="30" x14ac:dyDescent="0.25">
      <c r="A15" s="89">
        <v>45414</v>
      </c>
      <c r="B15" s="90">
        <v>1</v>
      </c>
      <c r="C15" s="91" t="s">
        <v>31</v>
      </c>
      <c r="D15" s="92">
        <v>5.2083333333333336E-2</v>
      </c>
      <c r="E15" s="93" t="s">
        <v>69</v>
      </c>
      <c r="F15" s="85"/>
      <c r="H15" s="86" t="s">
        <v>47</v>
      </c>
      <c r="I15" s="88">
        <v>0.19791666666666666</v>
      </c>
      <c r="M15" s="82"/>
    </row>
    <row r="16" spans="1:14" ht="30" x14ac:dyDescent="0.25">
      <c r="A16" s="89">
        <v>45414</v>
      </c>
      <c r="B16" s="90">
        <v>1</v>
      </c>
      <c r="C16" s="91" t="s">
        <v>85</v>
      </c>
      <c r="D16" s="92">
        <v>1.0416666666666666E-2</v>
      </c>
      <c r="E16" s="93" t="s">
        <v>67</v>
      </c>
      <c r="F16" s="85">
        <f>SUM(D12:D16)</f>
        <v>0.2638888888888889</v>
      </c>
      <c r="H16" s="86"/>
      <c r="I16" s="88">
        <v>0.16666666666666666</v>
      </c>
      <c r="M16" s="82"/>
    </row>
    <row r="17" spans="1:13" ht="135" x14ac:dyDescent="0.25">
      <c r="A17" s="94">
        <v>45415</v>
      </c>
      <c r="B17" s="95">
        <v>1</v>
      </c>
      <c r="C17" s="96" t="s">
        <v>54</v>
      </c>
      <c r="D17" s="97">
        <v>2.0833333333333332E-2</v>
      </c>
      <c r="E17" s="98" t="s">
        <v>70</v>
      </c>
      <c r="F17" s="85"/>
      <c r="H17" s="86"/>
      <c r="I17" s="88">
        <v>0.16666666666666666</v>
      </c>
      <c r="M17" s="82"/>
    </row>
    <row r="18" spans="1:13" ht="30" x14ac:dyDescent="0.25">
      <c r="A18" s="94">
        <v>45415</v>
      </c>
      <c r="B18" s="95">
        <v>1</v>
      </c>
      <c r="C18" s="96" t="s">
        <v>31</v>
      </c>
      <c r="D18" s="97">
        <v>7.9861111111111105E-2</v>
      </c>
      <c r="E18" s="98" t="s">
        <v>71</v>
      </c>
      <c r="F18" s="85"/>
      <c r="H18" s="86"/>
      <c r="I18" s="82">
        <v>0.2638888888888889</v>
      </c>
      <c r="J18" s="84" t="s">
        <v>12</v>
      </c>
      <c r="K18" s="85">
        <f>SUM(I15:I18)</f>
        <v>0.79513888888888884</v>
      </c>
      <c r="M18" s="82"/>
    </row>
    <row r="19" spans="1:13" x14ac:dyDescent="0.25">
      <c r="A19" s="94">
        <v>45415</v>
      </c>
      <c r="B19" s="95">
        <v>1</v>
      </c>
      <c r="C19" s="96" t="s">
        <v>52</v>
      </c>
      <c r="D19" s="97">
        <v>4.1666666666666664E-2</v>
      </c>
      <c r="E19" s="98" t="s">
        <v>72</v>
      </c>
      <c r="F19" s="85"/>
      <c r="H19" s="87" t="s">
        <v>48</v>
      </c>
      <c r="I19" s="82">
        <v>0.19791666666666666</v>
      </c>
      <c r="M19" s="82"/>
    </row>
    <row r="20" spans="1:13" ht="30" x14ac:dyDescent="0.25">
      <c r="A20" s="94">
        <v>45415</v>
      </c>
      <c r="B20" s="95">
        <v>1</v>
      </c>
      <c r="C20" s="96" t="s">
        <v>51</v>
      </c>
      <c r="D20" s="97">
        <v>3.472222222222222E-3</v>
      </c>
      <c r="E20" s="98" t="s">
        <v>73</v>
      </c>
      <c r="F20" s="85"/>
      <c r="H20" s="87"/>
      <c r="I20" s="82">
        <v>0.2638888888888889</v>
      </c>
      <c r="M20" s="82"/>
    </row>
    <row r="21" spans="1:13" x14ac:dyDescent="0.25">
      <c r="A21" s="94">
        <v>45415</v>
      </c>
      <c r="B21" s="95">
        <v>1</v>
      </c>
      <c r="C21" s="96" t="s">
        <v>52</v>
      </c>
      <c r="D21" s="97">
        <v>3.8194444444444441E-2</v>
      </c>
      <c r="E21" s="98" t="s">
        <v>74</v>
      </c>
      <c r="F21" s="85"/>
      <c r="H21" s="87"/>
      <c r="I21" s="82">
        <v>0.16666666666666666</v>
      </c>
      <c r="M21" s="82"/>
    </row>
    <row r="22" spans="1:13" ht="30" x14ac:dyDescent="0.25">
      <c r="A22" s="94">
        <v>45415</v>
      </c>
      <c r="B22" s="95">
        <v>1</v>
      </c>
      <c r="C22" s="96" t="s">
        <v>85</v>
      </c>
      <c r="D22" s="97">
        <v>1.3888888888888888E-2</v>
      </c>
      <c r="E22" s="99" t="s">
        <v>67</v>
      </c>
      <c r="F22" s="85">
        <f>SUM(D17:D22)</f>
        <v>0.19791666666666666</v>
      </c>
      <c r="H22" s="87"/>
      <c r="I22" s="82">
        <v>7.2916666666666671E-2</v>
      </c>
      <c r="J22" s="84" t="s">
        <v>12</v>
      </c>
      <c r="K22" s="85">
        <f>SUM(I19:I22)</f>
        <v>0.70138888888888884</v>
      </c>
    </row>
    <row r="23" spans="1:13" x14ac:dyDescent="0.25">
      <c r="A23" s="89">
        <v>45418</v>
      </c>
      <c r="B23" s="90">
        <v>1</v>
      </c>
      <c r="C23" s="91" t="s">
        <v>52</v>
      </c>
      <c r="D23" s="92">
        <v>3.125E-2</v>
      </c>
      <c r="E23" s="93" t="s">
        <v>75</v>
      </c>
      <c r="F23" s="85"/>
      <c r="H23" s="84"/>
    </row>
    <row r="24" spans="1:13" ht="16.5" customHeight="1" x14ac:dyDescent="0.25">
      <c r="A24" s="89">
        <v>45418</v>
      </c>
      <c r="B24" s="90">
        <v>1</v>
      </c>
      <c r="C24" s="91" t="s">
        <v>53</v>
      </c>
      <c r="D24" s="92">
        <v>6.9444444444444441E-3</v>
      </c>
      <c r="E24" s="93" t="s">
        <v>76</v>
      </c>
      <c r="F24" s="85"/>
      <c r="H24" s="84" t="s">
        <v>12</v>
      </c>
      <c r="I24" s="85">
        <f>SUM(I4:I22)</f>
        <v>3.7499999999999991</v>
      </c>
    </row>
    <row r="25" spans="1:13" ht="30" x14ac:dyDescent="0.25">
      <c r="A25" s="89">
        <v>45418</v>
      </c>
      <c r="B25" s="90">
        <v>1</v>
      </c>
      <c r="C25" s="91" t="s">
        <v>31</v>
      </c>
      <c r="D25" s="92">
        <v>2.0833333333333332E-2</v>
      </c>
      <c r="E25" s="93" t="s">
        <v>77</v>
      </c>
      <c r="F25" s="85"/>
      <c r="H25" s="84"/>
    </row>
    <row r="26" spans="1:13" ht="30" x14ac:dyDescent="0.25">
      <c r="A26" s="89">
        <v>45418</v>
      </c>
      <c r="B26" s="90">
        <v>1</v>
      </c>
      <c r="C26" s="91" t="s">
        <v>86</v>
      </c>
      <c r="D26" s="92">
        <v>0.1076388888888889</v>
      </c>
      <c r="E26" s="93" t="s">
        <v>78</v>
      </c>
      <c r="F26" s="85"/>
      <c r="H26" t="s">
        <v>19</v>
      </c>
      <c r="I26" t="s">
        <v>20</v>
      </c>
      <c r="J26" t="s">
        <v>21</v>
      </c>
    </row>
    <row r="27" spans="1:13" ht="29.25" customHeight="1" x14ac:dyDescent="0.25">
      <c r="A27" s="89">
        <v>45418</v>
      </c>
      <c r="B27" s="90">
        <v>1</v>
      </c>
      <c r="C27" s="91" t="s">
        <v>55</v>
      </c>
      <c r="D27" s="92">
        <v>1.3888888888888888E-2</v>
      </c>
      <c r="E27" s="93" t="s">
        <v>79</v>
      </c>
      <c r="F27" s="85"/>
      <c r="H27" t="s">
        <v>22</v>
      </c>
      <c r="I27" s="82">
        <v>0.2638888888888889</v>
      </c>
      <c r="J27">
        <v>8</v>
      </c>
    </row>
    <row r="28" spans="1:13" x14ac:dyDescent="0.25">
      <c r="A28" s="89">
        <v>45418</v>
      </c>
      <c r="B28" s="90">
        <v>1</v>
      </c>
      <c r="C28" s="91" t="s">
        <v>86</v>
      </c>
      <c r="D28" s="92">
        <v>5.2083333333333336E-2</v>
      </c>
      <c r="E28" s="93" t="s">
        <v>80</v>
      </c>
      <c r="F28" s="85"/>
      <c r="H28" t="s">
        <v>23</v>
      </c>
      <c r="I28" s="82">
        <v>0.16666666666666666</v>
      </c>
      <c r="J28">
        <v>5</v>
      </c>
    </row>
    <row r="29" spans="1:13" x14ac:dyDescent="0.25">
      <c r="A29" s="89">
        <v>45418</v>
      </c>
      <c r="B29" s="90">
        <v>1</v>
      </c>
      <c r="C29" s="91" t="s">
        <v>50</v>
      </c>
      <c r="D29" s="92">
        <v>2.4305555555555556E-2</v>
      </c>
      <c r="E29" s="93" t="s">
        <v>81</v>
      </c>
      <c r="F29" s="85"/>
      <c r="H29" t="s">
        <v>24</v>
      </c>
      <c r="I29" s="82">
        <v>0.16666666666666666</v>
      </c>
      <c r="J29">
        <v>5</v>
      </c>
    </row>
    <row r="30" spans="1:13" x14ac:dyDescent="0.25">
      <c r="A30" s="89">
        <v>45418</v>
      </c>
      <c r="B30" s="90">
        <v>1</v>
      </c>
      <c r="C30" s="91" t="s">
        <v>85</v>
      </c>
      <c r="D30" s="92">
        <v>6.9444444444444441E-3</v>
      </c>
      <c r="E30" s="93" t="s">
        <v>82</v>
      </c>
      <c r="F30" s="85">
        <f>SUM(D23:D30)</f>
        <v>0.2638888888888889</v>
      </c>
      <c r="H30" t="s">
        <v>25</v>
      </c>
      <c r="I30" s="82">
        <v>0.2638888888888889</v>
      </c>
      <c r="J30">
        <v>8</v>
      </c>
    </row>
    <row r="31" spans="1:13" x14ac:dyDescent="0.25">
      <c r="A31" s="94">
        <v>45419</v>
      </c>
      <c r="B31" s="95">
        <v>2</v>
      </c>
      <c r="C31" s="96" t="s">
        <v>86</v>
      </c>
      <c r="D31" s="97">
        <v>2.0833333333333332E-2</v>
      </c>
      <c r="E31" s="98" t="s">
        <v>83</v>
      </c>
      <c r="F31" s="85"/>
      <c r="H31" t="s">
        <v>26</v>
      </c>
      <c r="I31" s="82">
        <v>0.19791666666666666</v>
      </c>
      <c r="J31">
        <v>6</v>
      </c>
    </row>
    <row r="32" spans="1:13" x14ac:dyDescent="0.25">
      <c r="A32" s="94">
        <v>45419</v>
      </c>
      <c r="B32" s="95">
        <v>2</v>
      </c>
      <c r="C32" s="96" t="s">
        <v>34</v>
      </c>
      <c r="D32" s="97">
        <v>2.0833333333333332E-2</v>
      </c>
      <c r="E32" s="98" t="s">
        <v>84</v>
      </c>
      <c r="F32" s="85"/>
      <c r="H32" t="s">
        <v>12</v>
      </c>
      <c r="I32" s="85">
        <f>I27+I28+I29+I30+I31</f>
        <v>1.0590277777777779</v>
      </c>
      <c r="J32">
        <f>SUM(J27:J31)</f>
        <v>32</v>
      </c>
    </row>
    <row r="33" spans="1:7" ht="30" x14ac:dyDescent="0.25">
      <c r="A33" s="94">
        <v>45419</v>
      </c>
      <c r="B33" s="95">
        <v>2</v>
      </c>
      <c r="C33" s="96" t="s">
        <v>32</v>
      </c>
      <c r="D33" s="97">
        <v>5.2083333333333336E-2</v>
      </c>
      <c r="E33" s="98" t="s">
        <v>87</v>
      </c>
      <c r="F33" s="85"/>
    </row>
    <row r="34" spans="1:7" ht="135" x14ac:dyDescent="0.25">
      <c r="A34" s="94">
        <v>45419</v>
      </c>
      <c r="B34" s="95">
        <v>2</v>
      </c>
      <c r="C34" s="96" t="s">
        <v>34</v>
      </c>
      <c r="D34" s="97">
        <v>6.5972222222222224E-2</v>
      </c>
      <c r="E34" s="98" t="s">
        <v>114</v>
      </c>
      <c r="F34" s="85"/>
      <c r="G34" s="84"/>
    </row>
    <row r="35" spans="1:7" x14ac:dyDescent="0.25">
      <c r="A35" s="94">
        <v>45419</v>
      </c>
      <c r="B35" s="95">
        <v>2</v>
      </c>
      <c r="C35" s="96" t="s">
        <v>85</v>
      </c>
      <c r="D35" s="97">
        <v>6.9444444444444441E-3</v>
      </c>
      <c r="E35" s="98" t="s">
        <v>82</v>
      </c>
      <c r="F35" s="85">
        <f>SUM(D31:D35)</f>
        <v>0.16666666666666666</v>
      </c>
      <c r="G35" s="84"/>
    </row>
    <row r="36" spans="1:7" ht="60.75" customHeight="1" x14ac:dyDescent="0.25">
      <c r="A36" s="89">
        <v>45420</v>
      </c>
      <c r="B36" s="90">
        <v>2</v>
      </c>
      <c r="C36" s="91" t="s">
        <v>34</v>
      </c>
      <c r="D36" s="92">
        <v>2.0833333333333332E-2</v>
      </c>
      <c r="E36" s="93" t="s">
        <v>115</v>
      </c>
      <c r="F36" s="85"/>
      <c r="G36" s="84"/>
    </row>
    <row r="37" spans="1:7" x14ac:dyDescent="0.25">
      <c r="A37" s="89">
        <v>45420</v>
      </c>
      <c r="B37" s="90">
        <v>2</v>
      </c>
      <c r="C37" s="91" t="s">
        <v>34</v>
      </c>
      <c r="D37" s="92">
        <v>0.1111111111111111</v>
      </c>
      <c r="E37" s="93" t="s">
        <v>88</v>
      </c>
      <c r="F37" s="85"/>
      <c r="G37" s="84"/>
    </row>
    <row r="38" spans="1:7" ht="30" x14ac:dyDescent="0.25">
      <c r="A38" s="89">
        <v>45420</v>
      </c>
      <c r="B38" s="90">
        <v>2</v>
      </c>
      <c r="C38" s="91" t="s">
        <v>33</v>
      </c>
      <c r="D38" s="92">
        <v>2.4305555555555556E-2</v>
      </c>
      <c r="E38" s="93" t="s">
        <v>89</v>
      </c>
      <c r="F38" s="85"/>
      <c r="G38" s="84"/>
    </row>
    <row r="39" spans="1:7" ht="30" x14ac:dyDescent="0.25">
      <c r="A39" s="89">
        <v>45420</v>
      </c>
      <c r="B39" s="90">
        <v>2</v>
      </c>
      <c r="C39" s="91" t="s">
        <v>85</v>
      </c>
      <c r="D39" s="92">
        <v>1.0416666666666666E-2</v>
      </c>
      <c r="E39" s="93" t="s">
        <v>67</v>
      </c>
      <c r="F39" s="85">
        <f>SUM(D36:D39)</f>
        <v>0.16666666666666666</v>
      </c>
      <c r="G39" s="84"/>
    </row>
    <row r="40" spans="1:7" ht="45" x14ac:dyDescent="0.25">
      <c r="A40" s="94">
        <v>45425</v>
      </c>
      <c r="B40" s="95">
        <v>2</v>
      </c>
      <c r="C40" s="96" t="s">
        <v>33</v>
      </c>
      <c r="D40" s="97">
        <v>0.11458333333333333</v>
      </c>
      <c r="E40" s="98" t="s">
        <v>90</v>
      </c>
      <c r="F40" s="85"/>
      <c r="G40" s="84"/>
    </row>
    <row r="41" spans="1:7" ht="30" x14ac:dyDescent="0.25">
      <c r="A41" s="94">
        <v>45425</v>
      </c>
      <c r="B41" s="95">
        <v>2</v>
      </c>
      <c r="C41" s="96" t="s">
        <v>35</v>
      </c>
      <c r="D41" s="97">
        <v>2.0833333333333332E-2</v>
      </c>
      <c r="E41" s="98" t="s">
        <v>91</v>
      </c>
      <c r="F41" s="85"/>
      <c r="G41" s="84"/>
    </row>
    <row r="42" spans="1:7" x14ac:dyDescent="0.25">
      <c r="A42" s="94">
        <v>45425</v>
      </c>
      <c r="B42" s="95">
        <v>2</v>
      </c>
      <c r="C42" s="96" t="s">
        <v>54</v>
      </c>
      <c r="D42" s="97">
        <v>1.3888888888888888E-2</v>
      </c>
      <c r="E42" s="98" t="s">
        <v>92</v>
      </c>
      <c r="F42" s="85"/>
      <c r="G42" s="84"/>
    </row>
    <row r="43" spans="1:7" x14ac:dyDescent="0.25">
      <c r="A43" s="94">
        <v>45425</v>
      </c>
      <c r="B43" s="95">
        <v>2</v>
      </c>
      <c r="C43" s="96" t="s">
        <v>35</v>
      </c>
      <c r="D43" s="97">
        <v>0.10416666666666667</v>
      </c>
      <c r="E43" s="98" t="s">
        <v>93</v>
      </c>
      <c r="F43" s="85"/>
      <c r="G43" s="84"/>
    </row>
    <row r="44" spans="1:7" x14ac:dyDescent="0.25">
      <c r="A44" s="94">
        <v>45425</v>
      </c>
      <c r="B44" s="95">
        <v>2</v>
      </c>
      <c r="C44" s="96" t="s">
        <v>85</v>
      </c>
      <c r="D44" s="97">
        <v>1.0416666666666666E-2</v>
      </c>
      <c r="E44" s="98" t="s">
        <v>82</v>
      </c>
      <c r="F44" s="85">
        <f>SUM(D40:D44)</f>
        <v>0.2638888888888889</v>
      </c>
      <c r="G44" s="84"/>
    </row>
    <row r="45" spans="1:7" ht="30" x14ac:dyDescent="0.25">
      <c r="A45" s="89">
        <v>45426</v>
      </c>
      <c r="B45" s="90">
        <v>2</v>
      </c>
      <c r="C45" s="91" t="s">
        <v>35</v>
      </c>
      <c r="D45" s="92">
        <v>2.7777777777777776E-2</v>
      </c>
      <c r="E45" s="93" t="s">
        <v>94</v>
      </c>
      <c r="F45" s="85"/>
      <c r="G45" s="84"/>
    </row>
    <row r="46" spans="1:7" x14ac:dyDescent="0.25">
      <c r="A46" s="89">
        <v>45426</v>
      </c>
      <c r="B46" s="90">
        <v>2</v>
      </c>
      <c r="C46" s="91" t="s">
        <v>35</v>
      </c>
      <c r="D46" s="92">
        <v>1.3888888888888888E-2</v>
      </c>
      <c r="E46" s="93" t="s">
        <v>95</v>
      </c>
      <c r="F46" s="85"/>
      <c r="G46" s="84"/>
    </row>
    <row r="47" spans="1:7" x14ac:dyDescent="0.25">
      <c r="A47" s="89">
        <v>45426</v>
      </c>
      <c r="B47" s="90">
        <v>2</v>
      </c>
      <c r="C47" s="91" t="s">
        <v>36</v>
      </c>
      <c r="D47" s="92">
        <v>5.2083333333333336E-2</v>
      </c>
      <c r="E47" s="93" t="s">
        <v>96</v>
      </c>
      <c r="F47" s="85"/>
      <c r="G47" s="84"/>
    </row>
    <row r="48" spans="1:7" ht="60" x14ac:dyDescent="0.25">
      <c r="A48" s="89">
        <v>45426</v>
      </c>
      <c r="B48" s="90">
        <v>2</v>
      </c>
      <c r="C48" s="91" t="s">
        <v>36</v>
      </c>
      <c r="D48" s="92">
        <v>3.125E-2</v>
      </c>
      <c r="E48" s="93" t="s">
        <v>117</v>
      </c>
      <c r="F48" s="85"/>
      <c r="G48" s="84"/>
    </row>
    <row r="49" spans="1:7" ht="30" x14ac:dyDescent="0.25">
      <c r="A49" s="89">
        <v>45426</v>
      </c>
      <c r="B49" s="90">
        <v>2</v>
      </c>
      <c r="C49" s="91" t="s">
        <v>42</v>
      </c>
      <c r="D49" s="92">
        <v>3.125E-2</v>
      </c>
      <c r="E49" s="93" t="s">
        <v>97</v>
      </c>
      <c r="F49" s="85"/>
      <c r="G49" s="84"/>
    </row>
    <row r="50" spans="1:7" x14ac:dyDescent="0.25">
      <c r="A50" s="89">
        <v>45426</v>
      </c>
      <c r="B50" s="90">
        <v>2</v>
      </c>
      <c r="C50" s="91" t="s">
        <v>85</v>
      </c>
      <c r="D50" s="92">
        <v>1.0416666666666666E-2</v>
      </c>
      <c r="E50" s="93" t="s">
        <v>82</v>
      </c>
      <c r="F50" s="85">
        <f>SUM(D45:D50)</f>
        <v>0.16666666666666666</v>
      </c>
      <c r="G50" s="84"/>
    </row>
    <row r="51" spans="1:7" ht="30" x14ac:dyDescent="0.25">
      <c r="A51" s="94">
        <v>45427</v>
      </c>
      <c r="B51" s="95">
        <v>2</v>
      </c>
      <c r="C51" s="96" t="s">
        <v>43</v>
      </c>
      <c r="D51" s="97">
        <v>7.2916666666666671E-2</v>
      </c>
      <c r="E51" s="98" t="s">
        <v>98</v>
      </c>
      <c r="F51" s="85"/>
      <c r="G51" s="84"/>
    </row>
    <row r="52" spans="1:7" x14ac:dyDescent="0.25">
      <c r="A52" s="94">
        <v>45427</v>
      </c>
      <c r="B52" s="95">
        <v>2</v>
      </c>
      <c r="C52" s="96" t="s">
        <v>86</v>
      </c>
      <c r="D52" s="97">
        <v>4.1666666666666664E-2</v>
      </c>
      <c r="E52" s="98" t="s">
        <v>99</v>
      </c>
      <c r="F52" s="85"/>
      <c r="G52" s="84"/>
    </row>
    <row r="53" spans="1:7" ht="30" x14ac:dyDescent="0.25">
      <c r="A53" s="94">
        <v>45427</v>
      </c>
      <c r="B53" s="95">
        <v>2</v>
      </c>
      <c r="C53" s="96" t="s">
        <v>49</v>
      </c>
      <c r="D53" s="97">
        <v>4.1666666666666664E-2</v>
      </c>
      <c r="E53" s="98" t="s">
        <v>100</v>
      </c>
      <c r="F53" s="85"/>
      <c r="G53" s="84"/>
    </row>
    <row r="54" spans="1:7" ht="30" x14ac:dyDescent="0.25">
      <c r="A54" s="94">
        <v>45427</v>
      </c>
      <c r="B54" s="95">
        <v>2</v>
      </c>
      <c r="C54" s="96" t="s">
        <v>85</v>
      </c>
      <c r="D54" s="97">
        <v>1.0416666666666666E-2</v>
      </c>
      <c r="E54" s="98" t="s">
        <v>67</v>
      </c>
      <c r="F54" s="85">
        <f>SUM(D51:D54)</f>
        <v>0.16666666666666666</v>
      </c>
      <c r="G54" s="84"/>
    </row>
    <row r="55" spans="1:7" ht="150" x14ac:dyDescent="0.25">
      <c r="A55" s="89">
        <v>45428</v>
      </c>
      <c r="B55" s="90">
        <v>2</v>
      </c>
      <c r="C55" s="91" t="s">
        <v>54</v>
      </c>
      <c r="D55" s="92">
        <v>2.0833333333333332E-2</v>
      </c>
      <c r="E55" s="93" t="s">
        <v>101</v>
      </c>
      <c r="F55" s="85"/>
      <c r="G55" s="84"/>
    </row>
    <row r="56" spans="1:7" ht="30" x14ac:dyDescent="0.25">
      <c r="A56" s="89">
        <v>45428</v>
      </c>
      <c r="B56" s="90">
        <v>2</v>
      </c>
      <c r="C56" s="91" t="s">
        <v>43</v>
      </c>
      <c r="D56" s="92">
        <v>4.1666666666666664E-2</v>
      </c>
      <c r="E56" s="93" t="s">
        <v>102</v>
      </c>
      <c r="F56" s="85"/>
      <c r="G56" s="84"/>
    </row>
    <row r="57" spans="1:7" ht="45" x14ac:dyDescent="0.25">
      <c r="A57" s="89">
        <v>45428</v>
      </c>
      <c r="B57" s="90">
        <v>2</v>
      </c>
      <c r="C57" s="91" t="s">
        <v>33</v>
      </c>
      <c r="D57" s="92">
        <v>6.25E-2</v>
      </c>
      <c r="E57" s="93" t="s">
        <v>103</v>
      </c>
      <c r="F57" s="85"/>
      <c r="G57" s="84"/>
    </row>
    <row r="58" spans="1:7" ht="105" x14ac:dyDescent="0.25">
      <c r="A58" s="89">
        <v>45428</v>
      </c>
      <c r="B58" s="90">
        <v>2</v>
      </c>
      <c r="C58" s="91" t="s">
        <v>55</v>
      </c>
      <c r="D58" s="92">
        <v>3.4722222222222224E-2</v>
      </c>
      <c r="E58" s="93" t="s">
        <v>104</v>
      </c>
      <c r="F58" s="85"/>
      <c r="G58" s="84"/>
    </row>
    <row r="59" spans="1:7" x14ac:dyDescent="0.25">
      <c r="A59" s="89">
        <v>45428</v>
      </c>
      <c r="B59" s="90">
        <v>2</v>
      </c>
      <c r="C59" s="91" t="s">
        <v>50</v>
      </c>
      <c r="D59" s="92">
        <v>2.7777777777777776E-2</v>
      </c>
      <c r="E59" s="93" t="s">
        <v>105</v>
      </c>
      <c r="F59" s="85"/>
      <c r="G59" s="84"/>
    </row>
    <row r="60" spans="1:7" ht="30" x14ac:dyDescent="0.25">
      <c r="A60" s="89">
        <v>45428</v>
      </c>
      <c r="B60" s="90">
        <v>2</v>
      </c>
      <c r="C60" s="91" t="s">
        <v>86</v>
      </c>
      <c r="D60" s="92">
        <v>6.5972222222222224E-2</v>
      </c>
      <c r="E60" s="93" t="s">
        <v>106</v>
      </c>
      <c r="F60" s="85"/>
      <c r="G60" s="84"/>
    </row>
    <row r="61" spans="1:7" x14ac:dyDescent="0.25">
      <c r="A61" s="89">
        <v>45428</v>
      </c>
      <c r="B61" s="90">
        <v>2</v>
      </c>
      <c r="C61" s="91" t="s">
        <v>85</v>
      </c>
      <c r="D61" s="92">
        <v>1.0416666666666666E-2</v>
      </c>
      <c r="E61" s="93" t="s">
        <v>82</v>
      </c>
      <c r="F61" s="85">
        <f>SUM(D55:D61)</f>
        <v>0.2638888888888889</v>
      </c>
      <c r="G61" s="84"/>
    </row>
    <row r="62" spans="1:7" ht="30" x14ac:dyDescent="0.25">
      <c r="A62" s="94">
        <v>45429</v>
      </c>
      <c r="B62" s="95">
        <v>3</v>
      </c>
      <c r="C62" s="96" t="s">
        <v>37</v>
      </c>
      <c r="D62" s="97">
        <v>6.25E-2</v>
      </c>
      <c r="E62" s="98" t="s">
        <v>107</v>
      </c>
      <c r="F62" s="85"/>
      <c r="G62" s="84"/>
    </row>
    <row r="63" spans="1:7" ht="30" x14ac:dyDescent="0.25">
      <c r="A63" s="94">
        <v>45429</v>
      </c>
      <c r="B63" s="95">
        <v>3</v>
      </c>
      <c r="C63" s="96" t="s">
        <v>37</v>
      </c>
      <c r="D63" s="97">
        <v>9.0277777777777776E-2</v>
      </c>
      <c r="E63" s="98" t="s">
        <v>108</v>
      </c>
      <c r="F63" s="85"/>
      <c r="G63" s="84"/>
    </row>
    <row r="64" spans="1:7" ht="30" x14ac:dyDescent="0.25">
      <c r="A64" s="94">
        <v>45429</v>
      </c>
      <c r="B64" s="95">
        <v>3</v>
      </c>
      <c r="C64" s="96" t="s">
        <v>42</v>
      </c>
      <c r="D64" s="97">
        <v>2.0833333333333332E-2</v>
      </c>
      <c r="E64" s="98" t="s">
        <v>109</v>
      </c>
      <c r="F64" s="85"/>
      <c r="G64" s="84"/>
    </row>
    <row r="65" spans="1:7" ht="30" x14ac:dyDescent="0.25">
      <c r="A65" s="94">
        <v>45429</v>
      </c>
      <c r="B65" s="95">
        <v>3</v>
      </c>
      <c r="C65" s="96" t="s">
        <v>49</v>
      </c>
      <c r="D65" s="97">
        <v>1.3888888888888888E-2</v>
      </c>
      <c r="E65" s="98" t="s">
        <v>110</v>
      </c>
      <c r="F65" s="85"/>
      <c r="G65" s="84"/>
    </row>
    <row r="66" spans="1:7" ht="30" x14ac:dyDescent="0.25">
      <c r="A66" s="94">
        <v>45429</v>
      </c>
      <c r="B66" s="95">
        <v>3</v>
      </c>
      <c r="C66" s="96" t="s">
        <v>85</v>
      </c>
      <c r="D66" s="97">
        <v>1.0416666666666666E-2</v>
      </c>
      <c r="E66" s="98" t="s">
        <v>67</v>
      </c>
      <c r="F66" s="85">
        <f>SUM(D62:D66)</f>
        <v>0.19791666666666669</v>
      </c>
      <c r="G66" s="84"/>
    </row>
    <row r="67" spans="1:7" x14ac:dyDescent="0.25">
      <c r="A67" s="89">
        <v>45433</v>
      </c>
      <c r="B67" s="90">
        <v>3</v>
      </c>
      <c r="C67" s="91" t="s">
        <v>38</v>
      </c>
      <c r="D67" s="92">
        <v>4.1666666666666664E-2</v>
      </c>
      <c r="E67" s="93" t="s">
        <v>112</v>
      </c>
      <c r="F67" s="85"/>
      <c r="G67" s="84"/>
    </row>
    <row r="68" spans="1:7" ht="30" x14ac:dyDescent="0.25">
      <c r="A68" s="89">
        <v>45433</v>
      </c>
      <c r="B68" s="90">
        <v>3</v>
      </c>
      <c r="C68" s="91" t="s">
        <v>38</v>
      </c>
      <c r="D68" s="92">
        <v>4.1666666666666664E-2</v>
      </c>
      <c r="E68" s="93" t="s">
        <v>111</v>
      </c>
      <c r="F68" s="85"/>
    </row>
    <row r="69" spans="1:7" ht="75" x14ac:dyDescent="0.25">
      <c r="A69" s="89">
        <v>45433</v>
      </c>
      <c r="B69" s="90">
        <v>3</v>
      </c>
      <c r="C69" s="91" t="s">
        <v>39</v>
      </c>
      <c r="D69" s="92">
        <v>4.1666666666666664E-2</v>
      </c>
      <c r="E69" s="93" t="s">
        <v>118</v>
      </c>
      <c r="F69" s="85"/>
    </row>
    <row r="70" spans="1:7" x14ac:dyDescent="0.25">
      <c r="A70" s="89">
        <v>45433</v>
      </c>
      <c r="B70" s="90">
        <v>3</v>
      </c>
      <c r="C70" s="91" t="s">
        <v>43</v>
      </c>
      <c r="D70" s="92">
        <v>3.125E-2</v>
      </c>
      <c r="E70" s="93" t="s">
        <v>113</v>
      </c>
      <c r="F70" s="85"/>
    </row>
    <row r="71" spans="1:7" x14ac:dyDescent="0.25">
      <c r="A71" s="89">
        <v>45433</v>
      </c>
      <c r="B71" s="90">
        <v>3</v>
      </c>
      <c r="C71" s="91" t="s">
        <v>85</v>
      </c>
      <c r="D71" s="92">
        <v>1.0416666666666666E-2</v>
      </c>
      <c r="E71" s="93" t="s">
        <v>82</v>
      </c>
      <c r="F71" s="85">
        <f>SUM(D67:D71)</f>
        <v>0.16666666666666666</v>
      </c>
    </row>
    <row r="72" spans="1:7" ht="45" x14ac:dyDescent="0.25">
      <c r="A72" s="94">
        <v>45434</v>
      </c>
      <c r="B72" s="95">
        <v>3</v>
      </c>
      <c r="C72" s="96" t="s">
        <v>86</v>
      </c>
      <c r="D72" s="97">
        <v>0.1388888888888889</v>
      </c>
      <c r="E72" s="98" t="s">
        <v>120</v>
      </c>
      <c r="F72" s="85"/>
    </row>
    <row r="73" spans="1:7" x14ac:dyDescent="0.25">
      <c r="A73" s="94">
        <v>45434</v>
      </c>
      <c r="B73" s="95">
        <v>3</v>
      </c>
      <c r="C73" s="96" t="s">
        <v>50</v>
      </c>
      <c r="D73" s="97">
        <v>1.7361111111111112E-2</v>
      </c>
      <c r="E73" s="98" t="s">
        <v>119</v>
      </c>
      <c r="F73" s="85"/>
    </row>
    <row r="74" spans="1:7" ht="30" x14ac:dyDescent="0.25">
      <c r="A74" s="94">
        <v>45434</v>
      </c>
      <c r="B74" s="95">
        <v>3</v>
      </c>
      <c r="C74" s="96" t="s">
        <v>85</v>
      </c>
      <c r="D74" s="97">
        <v>1.0416666666666666E-2</v>
      </c>
      <c r="E74" s="98" t="s">
        <v>67</v>
      </c>
      <c r="F74" s="85">
        <f>SUM(D72:D74)</f>
        <v>0.16666666666666666</v>
      </c>
    </row>
    <row r="75" spans="1:7" x14ac:dyDescent="0.25">
      <c r="A75" s="89">
        <v>45435</v>
      </c>
      <c r="B75" s="90">
        <v>3</v>
      </c>
      <c r="C75" s="91"/>
      <c r="D75" s="92"/>
      <c r="E75" s="93"/>
      <c r="F75" s="85">
        <f t="shared" ref="F75:F79" si="0">SUM(D75)</f>
        <v>0</v>
      </c>
    </row>
    <row r="76" spans="1:7" x14ac:dyDescent="0.25">
      <c r="A76" s="94">
        <v>45436</v>
      </c>
      <c r="B76" s="95">
        <v>4</v>
      </c>
      <c r="C76" s="96"/>
      <c r="D76" s="97"/>
      <c r="E76" s="98"/>
      <c r="F76" s="85">
        <f t="shared" si="0"/>
        <v>0</v>
      </c>
    </row>
    <row r="77" spans="1:7" x14ac:dyDescent="0.25">
      <c r="A77" s="89">
        <v>45439</v>
      </c>
      <c r="B77" s="90">
        <v>4</v>
      </c>
      <c r="C77" s="91"/>
      <c r="D77" s="92"/>
      <c r="E77" s="93"/>
      <c r="F77" s="85">
        <f t="shared" si="0"/>
        <v>0</v>
      </c>
    </row>
    <row r="78" spans="1:7" x14ac:dyDescent="0.25">
      <c r="A78" s="94">
        <v>45440</v>
      </c>
      <c r="B78" s="95">
        <v>4</v>
      </c>
      <c r="C78" s="96"/>
      <c r="D78" s="97"/>
      <c r="E78" s="98"/>
      <c r="F78" s="85">
        <f t="shared" si="0"/>
        <v>0</v>
      </c>
    </row>
    <row r="79" spans="1:7" x14ac:dyDescent="0.25">
      <c r="A79" s="89">
        <v>45441</v>
      </c>
      <c r="B79" s="90">
        <v>4</v>
      </c>
      <c r="C79" s="91"/>
      <c r="D79" s="92"/>
      <c r="E79" s="93"/>
      <c r="F79" s="85">
        <f t="shared" si="0"/>
        <v>0</v>
      </c>
    </row>
  </sheetData>
  <sheetProtection selectLockedCells="1"/>
  <phoneticPr fontId="14" type="noConversion"/>
  <pageMargins left="0.70866141732283472" right="0.70866141732283472" top="0.74803149606299213" bottom="0.74803149606299213" header="0.31496062992125984" footer="0.31496062992125984"/>
  <pageSetup paperSize="9" scale="72"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76AFA25-E363-48BC-811A-1CDCC0EE6659}">
          <x14:formula1>
            <xm:f>Base!$G$4:$G$32</xm:f>
          </x14:formula1>
          <xm:sqref>C4:C1048576</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Base</vt:lpstr>
      <vt:lpstr>Planning</vt:lpstr>
      <vt:lpstr>Journal</vt:lpstr>
      <vt:lpstr>Journal!Zone_d_impression</vt:lpstr>
      <vt:lpstr>Planning!Zone_d_impression</vt:lpstr>
    </vt:vector>
  </TitlesOfParts>
  <Manager/>
  <Company>CPNV</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Administrateur</dc:creator>
  <cp:keywords/>
  <dc:description/>
  <cp:lastModifiedBy>Maikol Correia Da Silva</cp:lastModifiedBy>
  <cp:revision/>
  <cp:lastPrinted>2024-05-16T14:53:41Z</cp:lastPrinted>
  <dcterms:created xsi:type="dcterms:W3CDTF">2015-01-22T08:10:30Z</dcterms:created>
  <dcterms:modified xsi:type="dcterms:W3CDTF">2024-05-22T14:27:36Z</dcterms:modified>
  <cp:category/>
  <cp:contentStatus/>
</cp:coreProperties>
</file>